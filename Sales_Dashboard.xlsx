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frah\Desktop\"/>
    </mc:Choice>
  </mc:AlternateContent>
  <xr:revisionPtr revIDLastSave="0" documentId="13_ncr:10000001_{B64ABCC7-EC94-4176-B42F-FAAFA771665D}" xr6:coauthVersionLast="47" xr6:coauthVersionMax="47" xr10:uidLastSave="{00000000-0000-0000-0000-000000000000}"/>
  <bookViews>
    <workbookView xWindow="-110" yWindow="-110" windowWidth="19420" windowHeight="10300" tabRatio="945" activeTab="7" xr2:uid="{00000000-000D-0000-FFFF-FFFF00000000}"/>
  </bookViews>
  <sheets>
    <sheet name="SalesDataa" sheetId="7" r:id="rId1"/>
    <sheet name="database" sheetId="16" r:id="rId2"/>
    <sheet name="Sales by Customer" sheetId="34" r:id="rId3"/>
    <sheet name="Sales Trend" sheetId="35" r:id="rId4"/>
    <sheet name="Sales by Region" sheetId="36" r:id="rId5"/>
    <sheet name="Sales by Customer Type" sheetId="37" r:id="rId6"/>
    <sheet name="Sales by Sales Rep" sheetId="38" r:id="rId7"/>
    <sheet name="لوحة التحكم" sheetId="29" r:id="rId8"/>
  </sheets>
  <definedNames>
    <definedName name="_xlnm._FilterDatabase" localSheetId="0" hidden="1">SalesDataa!$A$1:$A$19</definedName>
    <definedName name="_xlcn.WorksheetConnection_الرئيسيJ1N111" hidden="1">SalesDataa!$L$1:$P$11</definedName>
    <definedName name="_xlcn.WorksheetConnection_مشروعاكسلتدريبييوتيوب.xlsxSMALL_TABLE1" hidden="1">SMALL_TABLE[]</definedName>
    <definedName name="_xlcn.WorksheetConnection_مشروعاكسلتدريبييوتيوب.xlsxTable31" hidden="1">Table3</definedName>
    <definedName name="_xlcn.WorksheetConnection_مشروعاكسلتدريبييوتيوب.xlsxTable41" hidden="1">Table4</definedName>
    <definedName name="_xlcn.WorksheetConnection_مشروعاكسلتدريبييوتيوب.xlsxالرئيسي1" hidden="1">SalesDataa[]</definedName>
    <definedName name="_xlnm.Extract" localSheetId="0">SalesDataa!$L$1:$L$11</definedName>
    <definedName name="SalesData">SalesDataa[]</definedName>
    <definedName name="Slicer_Customer_Type">#N/A</definedName>
    <definedName name="Slicer_Region">#N/A</definedName>
    <definedName name="SMALLTABLE">SMALL_TABLE[]</definedName>
  </definedNames>
  <calcPr calcId="181029"/>
  <pivotCaches>
    <pivotCache cacheId="218" r:id="rId9"/>
    <pivotCache cacheId="221" r:id="rId10"/>
    <pivotCache cacheId="224" r:id="rId11"/>
    <pivotCache cacheId="227" r:id="rId12"/>
    <pivotCache cacheId="230" r:id="rId13"/>
  </pivotCaches>
  <fileRecoveryPr repairLoad="1"/>
  <extLst>
    <ext xmlns:x14="http://schemas.microsoft.com/office/spreadsheetml/2009/9/main" uri="{876F7934-8845-4945-9796-88D515C7AA90}">
      <x14:pivotCaches>
        <pivotCache cacheId="5"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الرئيسي" name="الرئيسي" connection="WorksheetConnection_مشروع اكسل تدريبي يوتيوب.xlsx!الرئيسي"/>
          <x15:modelTable id="Table4" name="Table4" connection="WorksheetConnection_مشروع اكسل تدريبي يوتيوب.xlsx!Table4"/>
          <x15:modelTable id="Table3" name="Table3" connection="WorksheetConnection_مشروع اكسل تدريبي يوتيوب.xlsx!Table3"/>
          <x15:modelTable id="SMALL_TABLE" name="SMALL_TABLE" connection="WorksheetConnection_مشروع اكسل تدريبي يوتيوب.xlsx!SMALL_TABLE"/>
          <x15:modelTable id="Range 1" name="Range 1" connection="WorksheetConnection_الرئيسي!$J$1:$N$11"/>
        </x15:modelTables>
        <x15:modelRelationships>
          <x15:modelRelationship fromTable="الرئيسي" fromColumn="Customer Name" toTable="SMALL_TABLE" toColumn="Customer Name"/>
        </x15:modelRelationships>
      </x15:dataModel>
    </ext>
  </extLst>
</workbook>
</file>

<file path=xl/calcChain.xml><?xml version="1.0" encoding="utf-8"?>
<calcChain xmlns="http://schemas.openxmlformats.org/spreadsheetml/2006/main">
  <c r="K20" i="7" l="1"/>
  <c r="F20" i="7"/>
  <c r="E20" i="7"/>
  <c r="D20" i="7"/>
  <c r="K19" i="7"/>
  <c r="F19" i="7"/>
  <c r="E19" i="7"/>
  <c r="K18" i="7"/>
  <c r="F18" i="7"/>
  <c r="E18" i="7"/>
  <c r="K17" i="7"/>
  <c r="F17" i="7"/>
  <c r="E17" i="7"/>
  <c r="K16" i="7"/>
  <c r="F16" i="7"/>
  <c r="E16" i="7"/>
  <c r="K15" i="7"/>
  <c r="F15" i="7"/>
  <c r="E15" i="7"/>
  <c r="K14" i="7"/>
  <c r="F14" i="7"/>
  <c r="E14" i="7"/>
  <c r="K13" i="7"/>
  <c r="F13" i="7"/>
  <c r="E13" i="7"/>
  <c r="K12" i="7"/>
  <c r="F12" i="7"/>
  <c r="E12" i="7"/>
  <c r="P11" i="7"/>
  <c r="O11" i="7"/>
  <c r="N11" i="7"/>
  <c r="M11" i="7"/>
  <c r="K11" i="7"/>
  <c r="F11" i="7"/>
  <c r="E11" i="7"/>
  <c r="P10" i="7"/>
  <c r="O10" i="7"/>
  <c r="N10" i="7"/>
  <c r="M10" i="7"/>
  <c r="K10" i="7"/>
  <c r="F10" i="7"/>
  <c r="E10" i="7"/>
  <c r="P9" i="7"/>
  <c r="O9" i="7"/>
  <c r="N9" i="7"/>
  <c r="M9" i="7"/>
  <c r="K9" i="7"/>
  <c r="F9" i="7"/>
  <c r="E9" i="7"/>
  <c r="P8" i="7"/>
  <c r="O8" i="7"/>
  <c r="N8" i="7"/>
  <c r="M8" i="7"/>
  <c r="K8" i="7"/>
  <c r="F8" i="7"/>
  <c r="E8" i="7"/>
  <c r="P7" i="7"/>
  <c r="O7" i="7"/>
  <c r="N7" i="7"/>
  <c r="M7" i="7"/>
  <c r="K7" i="7"/>
  <c r="F7" i="7"/>
  <c r="E7" i="7"/>
  <c r="P6" i="7"/>
  <c r="O6" i="7"/>
  <c r="N6" i="7"/>
  <c r="M6" i="7"/>
  <c r="K6" i="7"/>
  <c r="F6" i="7"/>
  <c r="E6" i="7"/>
  <c r="P5" i="7"/>
  <c r="O5" i="7"/>
  <c r="N5" i="7"/>
  <c r="M5" i="7"/>
  <c r="K5" i="7"/>
  <c r="F5" i="7"/>
  <c r="E5" i="7"/>
  <c r="P4" i="7"/>
  <c r="O4" i="7"/>
  <c r="N4" i="7"/>
  <c r="M4" i="7"/>
  <c r="K4" i="7"/>
  <c r="F4" i="7"/>
  <c r="E4" i="7"/>
  <c r="P3" i="7"/>
  <c r="O3" i="7"/>
  <c r="N3" i="7"/>
  <c r="M3" i="7"/>
  <c r="K3" i="7"/>
  <c r="F3" i="7"/>
  <c r="E3" i="7"/>
  <c r="P2" i="7"/>
  <c r="O2" i="7"/>
  <c r="N2" i="7"/>
  <c r="M2" i="7"/>
  <c r="K2" i="7"/>
  <c r="F2" i="7"/>
  <c r="E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E0A642-30EC-4186-A6A1-50577F177F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9A058B0-F3D5-4CDD-B557-64DC04ECA53B}" name="WorksheetConnection_الرئيسي!$J$1:$N$11" type="102" refreshedVersion="8" minRefreshableVersion="5">
    <extLst>
      <ext xmlns:x15="http://schemas.microsoft.com/office/spreadsheetml/2010/11/main" uri="{DE250136-89BD-433C-8126-D09CA5730AF9}">
        <x15:connection id="Range 1" autoDelete="1">
          <x15:rangePr sourceName="_xlcn.WorksheetConnection_الرئيسيJ1N111"/>
        </x15:connection>
      </ext>
    </extLst>
  </connection>
  <connection id="3" xr16:uid="{21C493D7-9DE7-48A8-8846-F651D4EFA337}" name="WorksheetConnection_مشروع اكسل تدريبي يوتيوب.xlsx!SMALL_TABLE" type="102" refreshedVersion="8" minRefreshableVersion="5">
    <extLst>
      <ext xmlns:x15="http://schemas.microsoft.com/office/spreadsheetml/2010/11/main" uri="{DE250136-89BD-433C-8126-D09CA5730AF9}">
        <x15:connection id="SMALL_TABLE">
          <x15:rangePr sourceName="_xlcn.WorksheetConnection_مشروعاكسلتدريبييوتيوب.xlsxSMALL_TABLE1"/>
        </x15:connection>
      </ext>
    </extLst>
  </connection>
  <connection id="4" xr16:uid="{BF421AFA-1276-4093-AB7D-69D511973722}" name="WorksheetConnection_مشروع اكسل تدريبي يوتيوب.xlsx!Table3" type="102" refreshedVersion="8" minRefreshableVersion="5">
    <extLst>
      <ext xmlns:x15="http://schemas.microsoft.com/office/spreadsheetml/2010/11/main" uri="{DE250136-89BD-433C-8126-D09CA5730AF9}">
        <x15:connection id="Table3">
          <x15:rangePr sourceName="_xlcn.WorksheetConnection_مشروعاكسلتدريبييوتيوب.xlsxTable31"/>
        </x15:connection>
      </ext>
    </extLst>
  </connection>
  <connection id="5" xr16:uid="{6E5A07CE-45EE-49D6-88B8-71405333D811}" name="WorksheetConnection_مشروع اكسل تدريبي يوتيوب.xlsx!Table4" type="102" refreshedVersion="8" minRefreshableVersion="5">
    <extLst>
      <ext xmlns:x15="http://schemas.microsoft.com/office/spreadsheetml/2010/11/main" uri="{DE250136-89BD-433C-8126-D09CA5730AF9}">
        <x15:connection id="Table4">
          <x15:rangePr sourceName="_xlcn.WorksheetConnection_مشروعاكسلتدريبييوتيوب.xlsxTable41"/>
        </x15:connection>
      </ext>
    </extLst>
  </connection>
  <connection id="6" xr16:uid="{0C394D64-F93C-4302-8D16-1ABAD88DA09B}" name="WorksheetConnection_مشروع اكسل تدريبي يوتيوب.xlsx!الرئيسي" type="102" refreshedVersion="8" minRefreshableVersion="5">
    <extLst>
      <ext xmlns:x15="http://schemas.microsoft.com/office/spreadsheetml/2010/11/main" uri="{DE250136-89BD-433C-8126-D09CA5730AF9}">
        <x15:connection id="الرئيسي" autoDelete="1">
          <x15:rangePr sourceName="_xlcn.WorksheetConnection_مشروعاكسلتدريبييوتيوب.xlsxالرئيسي1"/>
        </x15:connection>
      </ext>
    </extLst>
  </connection>
</connections>
</file>

<file path=xl/sharedStrings.xml><?xml version="1.0" encoding="utf-8"?>
<sst xmlns="http://schemas.openxmlformats.org/spreadsheetml/2006/main" count="176" uniqueCount="45">
  <si>
    <t>Row Labels</t>
  </si>
  <si>
    <t>Grand Total</t>
  </si>
  <si>
    <t>Customer Name</t>
  </si>
  <si>
    <t>Transaction Type</t>
  </si>
  <si>
    <t>Amount</t>
  </si>
  <si>
    <t>Tax</t>
  </si>
  <si>
    <t>Net Amount</t>
  </si>
  <si>
    <t>Region</t>
  </si>
  <si>
    <t>Transaction Date</t>
  </si>
  <si>
    <t>Sales Rep</t>
  </si>
  <si>
    <t>Collection Date</t>
  </si>
  <si>
    <t>Remaining Days</t>
  </si>
  <si>
    <t>Ahmed Mamdouh</t>
  </si>
  <si>
    <t>Invoice</t>
  </si>
  <si>
    <t>Cairo</t>
  </si>
  <si>
    <t>Sayed</t>
  </si>
  <si>
    <t>Return</t>
  </si>
  <si>
    <t>Asaad Sherif</t>
  </si>
  <si>
    <t>Beheira</t>
  </si>
  <si>
    <t>Mamd</t>
  </si>
  <si>
    <t>Ashraf Mahmoud</t>
  </si>
  <si>
    <t>Nour</t>
  </si>
  <si>
    <t>Ayman Sadeq</t>
  </si>
  <si>
    <t>Mansoura</t>
  </si>
  <si>
    <t>Giza</t>
  </si>
  <si>
    <t>Mohamed</t>
  </si>
  <si>
    <t>Sara El-Shafei</t>
  </si>
  <si>
    <t>Sharqia</t>
  </si>
  <si>
    <t>Sayed Afifi</t>
  </si>
  <si>
    <t>Minya</t>
  </si>
  <si>
    <t>Mostafa</t>
  </si>
  <si>
    <t>Mortada El-Mesiri</t>
  </si>
  <si>
    <t>Maryam Mahmoud</t>
  </si>
  <si>
    <t>Aswan</t>
  </si>
  <si>
    <t>Mostafa Yousry</t>
  </si>
  <si>
    <t>Discount</t>
  </si>
  <si>
    <t>Hisham Fathy</t>
  </si>
  <si>
    <t xml:space="preserve">Amount </t>
  </si>
  <si>
    <t>Customer Type</t>
  </si>
  <si>
    <t>Sales Percentage</t>
  </si>
  <si>
    <t>Key Customer</t>
  </si>
  <si>
    <t>Sum of Net Amount</t>
  </si>
  <si>
    <t>Sales Trend</t>
  </si>
  <si>
    <t>Regular Customer</t>
  </si>
  <si>
    <t>Sales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</si>
</sst>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 [$SAR]"/>
    <numFmt numFmtId="167" formatCode="[$-1170000]B2dd/mm/yy;@"/>
    <numFmt numFmtId="168" formatCode="[$-2010000]d/mm/yyyy;@"/>
  </numFmts>
  <fonts count="6" x14ac:knownFonts="1">
    <font>
      <sz val="11"/>
      <color theme="1"/>
      <name val="Calibri"/>
      <family val="2"/>
      <scheme val="minor"/>
    </font>
    <font>
      <sz val="8"/>
      <name val="Calibri"/>
      <family val="2"/>
      <scheme val="minor"/>
    </font>
    <font>
      <b/>
      <sz val="11"/>
      <color theme="0"/>
      <name val="Calibri"/>
      <family val="2"/>
      <scheme val="minor"/>
    </font>
    <font>
      <sz val="8"/>
      <color rgb="FF000000"/>
      <name val="Segoe UI"/>
      <family val="2"/>
    </font>
    <font>
      <b/>
      <sz val="11"/>
      <color theme="1"/>
      <name val="Calibri"/>
      <family val="2"/>
      <scheme val="minor"/>
    </font>
    <font>
      <sz val="28"/>
      <color theme="1"/>
      <name val="Algerian"/>
      <family val="5"/>
    </font>
  </fonts>
  <fills count="4">
    <fill>
      <patternFill patternType="none"/>
    </fill>
    <fill>
      <patternFill patternType="gray125"/>
    </fill>
    <fill>
      <patternFill patternType="solid">
        <fgColor theme="1"/>
        <bgColor theme="1"/>
      </patternFill>
    </fill>
    <fill>
      <patternFill patternType="solid">
        <fgColor theme="3"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1">
    <xf numFmtId="0" fontId="0" fillId="0" borderId="0"/>
  </cellStyleXfs>
  <cellXfs count="41">
    <xf numFmtId="0" fontId="0" fillId="0" borderId="0" xfId="0"/>
    <xf numFmtId="14" fontId="0" fillId="0" borderId="0" xfId="0" applyNumberFormat="1"/>
    <xf numFmtId="164" fontId="0" fillId="0" borderId="0" xfId="0" applyNumberFormat="1"/>
    <xf numFmtId="49" fontId="0" fillId="0" borderId="0" xfId="0" applyNumberFormat="1"/>
    <xf numFmtId="3"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4" fillId="0" borderId="0" xfId="0" applyFont="1"/>
    <xf numFmtId="167" fontId="0" fillId="0" borderId="0" xfId="0" applyNumberFormat="1"/>
    <xf numFmtId="168" fontId="0" fillId="0" borderId="0" xfId="0" applyNumberFormat="1"/>
    <xf numFmtId="0" fontId="4"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2" fillId="2" borderId="6" xfId="0" applyFont="1" applyFill="1" applyBorder="1" applyAlignment="1">
      <alignment horizontal="center" vertical="center" wrapText="1"/>
    </xf>
    <xf numFmtId="0" fontId="2" fillId="2" borderId="6" xfId="0" applyFont="1" applyFill="1" applyBorder="1" applyAlignment="1">
      <alignment horizontal="left" vertical="center" wrapText="1"/>
    </xf>
    <xf numFmtId="0" fontId="4" fillId="0" borderId="0" xfId="0" applyFont="1" applyAlignment="1">
      <alignment horizontal="left"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49" fontId="3" fillId="0" borderId="3" xfId="0" applyNumberFormat="1" applyFont="1" applyBorder="1" applyAlignment="1">
      <alignment horizontal="left" vertical="center" wrapText="1"/>
    </xf>
    <xf numFmtId="49" fontId="3" fillId="0" borderId="4" xfId="0" applyNumberFormat="1" applyFont="1" applyBorder="1" applyAlignment="1">
      <alignment horizontal="left" vertical="center" wrapText="1"/>
    </xf>
    <xf numFmtId="14" fontId="3" fillId="0" borderId="4" xfId="0" applyNumberFormat="1" applyFont="1" applyBorder="1" applyAlignment="1">
      <alignment horizontal="left" vertical="center" wrapText="1"/>
    </xf>
    <xf numFmtId="14" fontId="3" fillId="0" borderId="5" xfId="0" applyNumberFormat="1" applyFont="1" applyBorder="1" applyAlignment="1">
      <alignment horizontal="left" vertical="center" wrapText="1"/>
    </xf>
    <xf numFmtId="1" fontId="3" fillId="0" borderId="0" xfId="0" applyNumberFormat="1" applyFont="1" applyAlignment="1">
      <alignment horizontal="left" vertical="center" wrapText="1"/>
    </xf>
    <xf numFmtId="0" fontId="0" fillId="0" borderId="0" xfId="0" applyAlignment="1">
      <alignment vertical="center"/>
    </xf>
    <xf numFmtId="0" fontId="3" fillId="0" borderId="1" xfId="0" applyFont="1" applyBorder="1" applyAlignment="1">
      <alignment horizontal="left" vertical="center"/>
    </xf>
    <xf numFmtId="166" fontId="3" fillId="0" borderId="1" xfId="0" applyNumberFormat="1" applyFont="1" applyBorder="1" applyAlignment="1">
      <alignment horizontal="left" vertical="center"/>
    </xf>
    <xf numFmtId="0" fontId="3" fillId="0" borderId="4" xfId="0" applyFont="1" applyBorder="1" applyAlignment="1">
      <alignment horizontal="left" vertical="center"/>
    </xf>
    <xf numFmtId="165" fontId="3" fillId="0" borderId="2" xfId="0" applyNumberFormat="1" applyFont="1" applyBorder="1" applyAlignment="1">
      <alignment horizontal="left" vertical="center"/>
    </xf>
    <xf numFmtId="164" fontId="3" fillId="0" borderId="4" xfId="0" applyNumberFormat="1" applyFont="1" applyBorder="1" applyAlignment="1">
      <alignment horizontal="left" vertical="center"/>
    </xf>
    <xf numFmtId="166" fontId="3" fillId="0" borderId="4" xfId="0" applyNumberFormat="1" applyFont="1" applyBorder="1" applyAlignment="1">
      <alignment horizontal="left" vertical="center"/>
    </xf>
    <xf numFmtId="0" fontId="2"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0" xfId="0" applyFill="1" applyAlignment="1"/>
    <xf numFmtId="0" fontId="0" fillId="0" borderId="0" xfId="0" applyFill="1"/>
    <xf numFmtId="0" fontId="0" fillId="0" borderId="0" xfId="0" applyNumberFormat="1"/>
    <xf numFmtId="14" fontId="0" fillId="0" borderId="0" xfId="0" applyNumberFormat="1" applyAlignment="1">
      <alignment horizontal="left"/>
    </xf>
    <xf numFmtId="0" fontId="0" fillId="0" borderId="0" xfId="0" applyFill="1" applyAlignment="1">
      <alignment horizontal="center"/>
    </xf>
    <xf numFmtId="0" fontId="0" fillId="0" borderId="0" xfId="0" applyAlignment="1"/>
    <xf numFmtId="0" fontId="5" fillId="3" borderId="0" xfId="0" applyFont="1" applyFill="1" applyAlignment="1">
      <alignment horizontal="center" vertical="center"/>
    </xf>
    <xf numFmtId="0" fontId="0" fillId="3" borderId="0" xfId="0" applyFill="1" applyAlignment="1">
      <alignment horizontal="center" vertical="center"/>
    </xf>
  </cellXfs>
  <cellStyles count="1">
    <cellStyle name="Normal" xfId="0" builtinId="0"/>
  </cellStyles>
  <dxfs count="41">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val="0"/>
        <i val="0"/>
        <strike val="0"/>
        <condense val="0"/>
        <extend val="0"/>
        <outline val="0"/>
        <shadow val="0"/>
        <u val="none"/>
        <vertAlign val="baseline"/>
        <sz val="8"/>
        <color rgb="FF000000"/>
        <name val="Segoe UI"/>
        <family val="2"/>
        <scheme val="none"/>
      </font>
      <numFmt numFmtId="165" formatCode="0.0%"/>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rgb="FF000000"/>
        <name val="Segoe UI"/>
        <family val="2"/>
        <scheme val="none"/>
      </font>
      <numFmt numFmtId="0" formatCode="Genera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Segoe UI"/>
        <family val="2"/>
        <scheme val="none"/>
      </font>
      <numFmt numFmtId="166" formatCode="#,##0.00\ [$SAR]"/>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Segoe UI"/>
        <family val="2"/>
        <scheme val="none"/>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Segoe UI"/>
        <family val="2"/>
        <scheme val="none"/>
      </font>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vertical="center"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rgb="FF000000"/>
        <name val="Segoe UI"/>
        <family val="2"/>
        <scheme val="none"/>
      </font>
      <numFmt numFmtId="1" formatCode="0"/>
      <alignment horizontal="left" vertical="center" textRotation="0" wrapText="1" indent="0" justifyLastLine="0" shrinkToFit="0" readingOrder="0"/>
    </dxf>
    <dxf>
      <font>
        <b val="0"/>
        <i val="0"/>
        <strike val="0"/>
        <condense val="0"/>
        <extend val="0"/>
        <outline val="0"/>
        <shadow val="0"/>
        <u val="none"/>
        <vertAlign val="baseline"/>
        <sz val="8"/>
        <color rgb="FF000000"/>
        <name val="Segoe UI"/>
        <family val="2"/>
        <scheme val="none"/>
      </font>
      <numFmt numFmtId="1" formatCode="0"/>
      <alignment horizontal="left" vertical="center" textRotation="0" wrapText="1" indent="0" justifyLastLine="0" shrinkToFit="0" readingOrder="0"/>
    </dxf>
    <dxf>
      <font>
        <b val="0"/>
        <i val="0"/>
        <strike val="0"/>
        <condense val="0"/>
        <extend val="0"/>
        <outline val="0"/>
        <shadow val="0"/>
        <u val="none"/>
        <vertAlign val="baseline"/>
        <sz val="8"/>
        <color rgb="FF000000"/>
        <name val="Segoe UI"/>
        <family val="2"/>
        <scheme val="none"/>
      </font>
      <numFmt numFmtId="19" formatCode="dd/mm/yy"/>
      <alignment horizontal="left"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8"/>
        <color rgb="FF000000"/>
        <name val="Segoe UI"/>
        <family val="2"/>
        <scheme val="none"/>
      </font>
      <numFmt numFmtId="19" formatCode="dd/mm/yy"/>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rgb="FF000000"/>
        <name val="Segoe UI"/>
        <family val="2"/>
        <scheme val="none"/>
      </font>
      <numFmt numFmtId="19" formatCode="dd/mm/yy"/>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8"/>
        <color rgb="FF000000"/>
        <name val="Segoe U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Segoe UI"/>
        <family val="2"/>
        <scheme val="none"/>
      </font>
      <numFmt numFmtId="19" formatCode="dd/mm/yy"/>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8"/>
        <color rgb="FF000000"/>
        <name val="Segoe UI"/>
        <family val="2"/>
        <scheme val="none"/>
      </font>
      <numFmt numFmtId="19" formatCode="dd/mm/yy"/>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Segoe UI"/>
        <family val="2"/>
        <scheme val="none"/>
      </font>
      <numFmt numFmtId="30" formatCode="@"/>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8"/>
        <color rgb="FF000000"/>
        <name val="Segoe U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Segoe UI"/>
        <family val="2"/>
        <scheme val="none"/>
      </font>
      <numFmt numFmtId="166" formatCode="#,##0.00\ [$SAR]"/>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8"/>
        <color rgb="FF000000"/>
        <name val="Segoe UI"/>
        <family val="2"/>
        <scheme val="none"/>
      </font>
      <numFmt numFmtId="166" formatCode="#,##0.00\ [$SAR]"/>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Segoe UI"/>
        <family val="2"/>
        <scheme val="none"/>
      </font>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8"/>
        <color rgb="FF000000"/>
        <name val="Segoe UI"/>
        <family val="2"/>
        <scheme val="none"/>
      </font>
      <numFmt numFmtId="0" formatCode="Genera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Segoe UI"/>
        <family val="2"/>
        <scheme val="none"/>
      </font>
      <numFmt numFmtId="164" formatCode="0.0"/>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8"/>
        <color rgb="FF000000"/>
        <name val="Segoe UI"/>
        <family val="2"/>
        <scheme val="none"/>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Segoe UI"/>
        <family val="2"/>
        <scheme val="none"/>
      </font>
      <numFmt numFmtId="30" formatCode="@"/>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8"/>
        <color rgb="FF000000"/>
        <name val="Segoe U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Segoe UI"/>
        <family val="2"/>
        <scheme val="none"/>
      </font>
      <numFmt numFmtId="30" formatCode="@"/>
      <alignment horizontal="left"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8"/>
        <color rgb="FF000000"/>
        <name val="Segoe UI"/>
        <family val="2"/>
        <scheme val="none"/>
      </font>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alignment horizontal="left" vertical="center" textRotation="0" wrapText="1" indent="0" justifyLastLine="0" shrinkToFit="0" readingOrder="0"/>
    </dxf>
    <dxf>
      <alignment horizontal="left" vertical="center" textRotation="0" wrapText="1" indent="0" justifyLastLine="0" shrinkToFit="0" readingOrder="0"/>
    </dxf>
    <dxf>
      <border outline="0">
        <top style="thin">
          <color indexed="64"/>
        </top>
      </border>
    </dxf>
    <dxf>
      <alignment horizontal="left" vertical="center" textRotation="0" indent="0" justifyLastLine="0" shrinkToFit="0" readingOrder="0"/>
    </dxf>
    <dxf>
      <border outline="0">
        <left style="thin">
          <color indexed="64"/>
        </left>
        <right style="thin">
          <color indexed="64"/>
        </right>
        <top style="thin">
          <color indexed="64"/>
        </top>
        <bottom style="thin">
          <color indexed="64"/>
        </bottom>
      </border>
    </dxf>
    <dxf>
      <alignment horizontal="left" vertical="center" textRotation="0" indent="0" justifyLastLine="0" shrinkToFit="0" readingOrder="0"/>
    </dxf>
    <dxf>
      <border outline="0">
        <bottom style="thin">
          <color indexed="64"/>
        </bottom>
      </border>
    </dxf>
    <dxf>
      <alignment horizontal="left" vertical="center" textRotation="0" indent="0" justifyLastLine="0" shrinkToFit="0" readingOrder="0"/>
    </dxf>
  </dxfs>
  <tableStyles count="0" defaultTableStyle="TableStyleLight8"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2.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المبيعات يوتيوب.xlsx]Sales by Customer!PivotTable1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Customer'!$B$3</c:f>
              <c:strCache>
                <c:ptCount val="1"/>
                <c:pt idx="0">
                  <c:v>Total</c:v>
                </c:pt>
              </c:strCache>
            </c:strRef>
          </c:tx>
          <c:spPr>
            <a:solidFill>
              <a:schemeClr val="accent1"/>
            </a:solidFill>
            <a:ln>
              <a:noFill/>
            </a:ln>
            <a:effectLst/>
          </c:spPr>
          <c:invertIfNegative val="0"/>
          <c:cat>
            <c:strRef>
              <c:f>'Sales by Customer'!$A$4:$A$14</c:f>
              <c:strCache>
                <c:ptCount val="10"/>
                <c:pt idx="0">
                  <c:v>Ahmed Mamdouh</c:v>
                </c:pt>
                <c:pt idx="1">
                  <c:v>Asaad Sherif</c:v>
                </c:pt>
                <c:pt idx="2">
                  <c:v>Ashraf Mahmoud</c:v>
                </c:pt>
                <c:pt idx="3">
                  <c:v>Ayman Sadeq</c:v>
                </c:pt>
                <c:pt idx="4">
                  <c:v>Hisham Fathy</c:v>
                </c:pt>
                <c:pt idx="5">
                  <c:v>Maryam Mahmoud</c:v>
                </c:pt>
                <c:pt idx="6">
                  <c:v>Mortada El-Mesiri</c:v>
                </c:pt>
                <c:pt idx="7">
                  <c:v>Mostafa Yousry</c:v>
                </c:pt>
                <c:pt idx="8">
                  <c:v>Sara El-Shafei</c:v>
                </c:pt>
                <c:pt idx="9">
                  <c:v>Sayed Afifi</c:v>
                </c:pt>
              </c:strCache>
            </c:strRef>
          </c:cat>
          <c:val>
            <c:numRef>
              <c:f>'Sales by Customer'!$B$4:$B$14</c:f>
              <c:numCache>
                <c:formatCode>General</c:formatCode>
                <c:ptCount val="10"/>
                <c:pt idx="0">
                  <c:v>11800</c:v>
                </c:pt>
                <c:pt idx="1">
                  <c:v>900</c:v>
                </c:pt>
                <c:pt idx="2">
                  <c:v>1900</c:v>
                </c:pt>
                <c:pt idx="3">
                  <c:v>4600</c:v>
                </c:pt>
                <c:pt idx="4">
                  <c:v>8000</c:v>
                </c:pt>
                <c:pt idx="5">
                  <c:v>25700</c:v>
                </c:pt>
                <c:pt idx="6">
                  <c:v>6900</c:v>
                </c:pt>
                <c:pt idx="7">
                  <c:v>6500</c:v>
                </c:pt>
                <c:pt idx="8">
                  <c:v>13900</c:v>
                </c:pt>
                <c:pt idx="9">
                  <c:v>67900</c:v>
                </c:pt>
              </c:numCache>
            </c:numRef>
          </c:val>
          <c:extLst>
            <c:ext xmlns:c16="http://schemas.microsoft.com/office/drawing/2014/chart" uri="{C3380CC4-5D6E-409C-BE32-E72D297353CC}">
              <c16:uniqueId val="{00000001-B79C-4258-972E-9166CD387D81}"/>
            </c:ext>
          </c:extLst>
        </c:ser>
        <c:dLbls>
          <c:showLegendKey val="0"/>
          <c:showVal val="0"/>
          <c:showCatName val="0"/>
          <c:showSerName val="0"/>
          <c:showPercent val="0"/>
          <c:showBubbleSize val="0"/>
        </c:dLbls>
        <c:gapWidth val="219"/>
        <c:overlap val="-27"/>
        <c:axId val="1021003184"/>
        <c:axId val="1021004144"/>
      </c:barChart>
      <c:catAx>
        <c:axId val="102100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004144"/>
        <c:crosses val="autoZero"/>
        <c:auto val="1"/>
        <c:lblAlgn val="ctr"/>
        <c:lblOffset val="100"/>
        <c:noMultiLvlLbl val="0"/>
      </c:catAx>
      <c:valAx>
        <c:axId val="102100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00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المبيعات يوتيوب.xlsx]Sales 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Trend</a:t>
            </a:r>
            <a:endParaRPr lang="ar-S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Trend'!$A$4:$A$22</c:f>
              <c:strCache>
                <c:ptCount val="18"/>
                <c:pt idx="0">
                  <c:v>14/01/21</c:v>
                </c:pt>
                <c:pt idx="1">
                  <c:v>15/01/21</c:v>
                </c:pt>
                <c:pt idx="2">
                  <c:v>16/01/21</c:v>
                </c:pt>
                <c:pt idx="3">
                  <c:v>17/01/21</c:v>
                </c:pt>
                <c:pt idx="4">
                  <c:v>18/01/21</c:v>
                </c:pt>
                <c:pt idx="5">
                  <c:v>19/01/21</c:v>
                </c:pt>
                <c:pt idx="6">
                  <c:v>20/01/21</c:v>
                </c:pt>
                <c:pt idx="7">
                  <c:v>21/01/21</c:v>
                </c:pt>
                <c:pt idx="8">
                  <c:v>22/01/21</c:v>
                </c:pt>
                <c:pt idx="9">
                  <c:v>23/01/21</c:v>
                </c:pt>
                <c:pt idx="10">
                  <c:v>24/01/21</c:v>
                </c:pt>
                <c:pt idx="11">
                  <c:v>25/01/21</c:v>
                </c:pt>
                <c:pt idx="12">
                  <c:v>26/01/21</c:v>
                </c:pt>
                <c:pt idx="13">
                  <c:v>27/01/21</c:v>
                </c:pt>
                <c:pt idx="14">
                  <c:v>28/01/21</c:v>
                </c:pt>
                <c:pt idx="15">
                  <c:v>29/01/21</c:v>
                </c:pt>
                <c:pt idx="16">
                  <c:v>30/01/21</c:v>
                </c:pt>
                <c:pt idx="17">
                  <c:v>31/01/21</c:v>
                </c:pt>
              </c:strCache>
            </c:strRef>
          </c:cat>
          <c:val>
            <c:numRef>
              <c:f>'Sales Trend'!$B$4:$B$22</c:f>
              <c:numCache>
                <c:formatCode>General</c:formatCode>
                <c:ptCount val="18"/>
                <c:pt idx="0">
                  <c:v>10000</c:v>
                </c:pt>
                <c:pt idx="1">
                  <c:v>7000</c:v>
                </c:pt>
                <c:pt idx="2">
                  <c:v>5000</c:v>
                </c:pt>
                <c:pt idx="3">
                  <c:v>15000</c:v>
                </c:pt>
                <c:pt idx="4">
                  <c:v>20000</c:v>
                </c:pt>
                <c:pt idx="5">
                  <c:v>70000</c:v>
                </c:pt>
                <c:pt idx="6">
                  <c:v>4000</c:v>
                </c:pt>
                <c:pt idx="7">
                  <c:v>2000</c:v>
                </c:pt>
                <c:pt idx="8">
                  <c:v>3000</c:v>
                </c:pt>
                <c:pt idx="9">
                  <c:v>9000</c:v>
                </c:pt>
                <c:pt idx="10">
                  <c:v>16000</c:v>
                </c:pt>
                <c:pt idx="11">
                  <c:v>10000</c:v>
                </c:pt>
                <c:pt idx="12">
                  <c:v>1000</c:v>
                </c:pt>
                <c:pt idx="13">
                  <c:v>2000</c:v>
                </c:pt>
                <c:pt idx="14">
                  <c:v>500</c:v>
                </c:pt>
                <c:pt idx="15">
                  <c:v>1000</c:v>
                </c:pt>
                <c:pt idx="16">
                  <c:v>2000</c:v>
                </c:pt>
                <c:pt idx="17">
                  <c:v>5000</c:v>
                </c:pt>
              </c:numCache>
            </c:numRef>
          </c:val>
          <c:smooth val="0"/>
          <c:extLst>
            <c:ext xmlns:c16="http://schemas.microsoft.com/office/drawing/2014/chart" uri="{C3380CC4-5D6E-409C-BE32-E72D297353CC}">
              <c16:uniqueId val="{00000001-E132-493E-ADA6-042442BAFFB7}"/>
            </c:ext>
          </c:extLst>
        </c:ser>
        <c:dLbls>
          <c:showLegendKey val="0"/>
          <c:showVal val="0"/>
          <c:showCatName val="0"/>
          <c:showSerName val="0"/>
          <c:showPercent val="0"/>
          <c:showBubbleSize val="0"/>
        </c:dLbls>
        <c:marker val="1"/>
        <c:smooth val="0"/>
        <c:axId val="1012311120"/>
        <c:axId val="1012306320"/>
      </c:lineChart>
      <c:catAx>
        <c:axId val="101231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306320"/>
        <c:crosses val="autoZero"/>
        <c:auto val="1"/>
        <c:lblAlgn val="ctr"/>
        <c:lblOffset val="100"/>
        <c:noMultiLvlLbl val="0"/>
      </c:catAx>
      <c:valAx>
        <c:axId val="101230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31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المبيعات يوتيوب.xlsx]Sales by Region!PivotTable3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Region'!$A$4:$A$11</c:f>
              <c:strCache>
                <c:ptCount val="7"/>
                <c:pt idx="0">
                  <c:v>Aswan</c:v>
                </c:pt>
                <c:pt idx="1">
                  <c:v>Beheira</c:v>
                </c:pt>
                <c:pt idx="2">
                  <c:v>Cairo</c:v>
                </c:pt>
                <c:pt idx="3">
                  <c:v>Giza</c:v>
                </c:pt>
                <c:pt idx="4">
                  <c:v>Mansoura</c:v>
                </c:pt>
                <c:pt idx="5">
                  <c:v>Minya</c:v>
                </c:pt>
                <c:pt idx="6">
                  <c:v>Sharqia</c:v>
                </c:pt>
              </c:strCache>
            </c:strRef>
          </c:cat>
          <c:val>
            <c:numRef>
              <c:f>'Sales by Region'!$B$4:$B$11</c:f>
              <c:numCache>
                <c:formatCode>General</c:formatCode>
                <c:ptCount val="7"/>
                <c:pt idx="0">
                  <c:v>25800</c:v>
                </c:pt>
                <c:pt idx="1">
                  <c:v>7400</c:v>
                </c:pt>
                <c:pt idx="2">
                  <c:v>13700</c:v>
                </c:pt>
                <c:pt idx="3">
                  <c:v>7900</c:v>
                </c:pt>
                <c:pt idx="4">
                  <c:v>11600</c:v>
                </c:pt>
                <c:pt idx="5">
                  <c:v>67900</c:v>
                </c:pt>
                <c:pt idx="6">
                  <c:v>13800</c:v>
                </c:pt>
              </c:numCache>
            </c:numRef>
          </c:val>
          <c:extLst>
            <c:ext xmlns:c16="http://schemas.microsoft.com/office/drawing/2014/chart" uri="{C3380CC4-5D6E-409C-BE32-E72D297353CC}">
              <c16:uniqueId val="{00000001-7D1B-4828-87AA-67DE2353F10E}"/>
            </c:ext>
          </c:extLst>
        </c:ser>
        <c:dLbls>
          <c:showLegendKey val="0"/>
          <c:showVal val="0"/>
          <c:showCatName val="0"/>
          <c:showSerName val="0"/>
          <c:showPercent val="0"/>
          <c:showBubbleSize val="0"/>
        </c:dLbls>
        <c:gapWidth val="182"/>
        <c:axId val="1182778512"/>
        <c:axId val="1182776592"/>
      </c:barChart>
      <c:catAx>
        <c:axId val="1182778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776592"/>
        <c:crosses val="autoZero"/>
        <c:auto val="1"/>
        <c:lblAlgn val="ctr"/>
        <c:lblOffset val="100"/>
        <c:noMultiLvlLbl val="0"/>
      </c:catAx>
      <c:valAx>
        <c:axId val="1182776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77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المبيعات يوتيوب.xlsx]Sales by Customer Type!PivotTable4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Customer Type</a:t>
            </a:r>
            <a:endParaRPr lang="ar-SA"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'Sales by Customer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AB-4296-A796-17A7B1849A85}"/>
              </c:ext>
            </c:extLst>
          </c:dPt>
          <c:dPt>
            <c:idx val="1"/>
            <c:bubble3D val="0"/>
            <c:spPr>
              <a:solidFill>
                <a:schemeClr val="accent2"/>
              </a:solidFill>
              <a:ln w="19050">
                <a:solidFill>
                  <a:schemeClr val="lt1"/>
                </a:solidFill>
              </a:ln>
              <a:effectLst/>
            </c:spPr>
          </c:dPt>
          <c:cat>
            <c:strRef>
              <c:f>'Sales by Customer Type'!$A$4:$A$6</c:f>
              <c:strCache>
                <c:ptCount val="2"/>
                <c:pt idx="0">
                  <c:v>Key Customer</c:v>
                </c:pt>
                <c:pt idx="1">
                  <c:v>Regular Customer</c:v>
                </c:pt>
              </c:strCache>
            </c:strRef>
          </c:cat>
          <c:val>
            <c:numRef>
              <c:f>'Sales by Customer Type'!$B$4:$B$6</c:f>
              <c:numCache>
                <c:formatCode>General</c:formatCode>
                <c:ptCount val="2"/>
                <c:pt idx="0">
                  <c:v>121700</c:v>
                </c:pt>
                <c:pt idx="1">
                  <c:v>27600</c:v>
                </c:pt>
              </c:numCache>
            </c:numRef>
          </c:val>
          <c:extLst>
            <c:ext xmlns:c16="http://schemas.microsoft.com/office/drawing/2014/chart" uri="{C3380CC4-5D6E-409C-BE32-E72D297353CC}">
              <c16:uniqueId val="{00000000-70E5-4767-A0F6-276081D42F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المبيعات يوتيوب.xlsx]Sales by Sales Rep!PivotTable5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Sales Rep'!$B$3</c:f>
              <c:strCache>
                <c:ptCount val="1"/>
                <c:pt idx="0">
                  <c:v>Total</c:v>
                </c:pt>
              </c:strCache>
            </c:strRef>
          </c:tx>
          <c:spPr>
            <a:solidFill>
              <a:schemeClr val="accent1"/>
            </a:solidFill>
            <a:ln>
              <a:noFill/>
            </a:ln>
            <a:effectLst/>
          </c:spPr>
          <c:invertIfNegative val="0"/>
          <c:cat>
            <c:strRef>
              <c:f>'Sales by Sales Rep'!$A$4:$A$9</c:f>
              <c:strCache>
                <c:ptCount val="5"/>
                <c:pt idx="0">
                  <c:v>Mamd</c:v>
                </c:pt>
                <c:pt idx="1">
                  <c:v>Mohamed</c:v>
                </c:pt>
                <c:pt idx="2">
                  <c:v>Mostafa</c:v>
                </c:pt>
                <c:pt idx="3">
                  <c:v>Nour</c:v>
                </c:pt>
                <c:pt idx="4">
                  <c:v>Sayed</c:v>
                </c:pt>
              </c:strCache>
            </c:strRef>
          </c:cat>
          <c:val>
            <c:numRef>
              <c:f>'Sales by Sales Rep'!$B$4:$B$9</c:f>
              <c:numCache>
                <c:formatCode>General</c:formatCode>
                <c:ptCount val="5"/>
                <c:pt idx="0">
                  <c:v>900</c:v>
                </c:pt>
                <c:pt idx="1">
                  <c:v>28700</c:v>
                </c:pt>
                <c:pt idx="2">
                  <c:v>81300</c:v>
                </c:pt>
                <c:pt idx="3">
                  <c:v>17600</c:v>
                </c:pt>
                <c:pt idx="4">
                  <c:v>19600</c:v>
                </c:pt>
              </c:numCache>
            </c:numRef>
          </c:val>
          <c:extLst>
            <c:ext xmlns:c16="http://schemas.microsoft.com/office/drawing/2014/chart" uri="{C3380CC4-5D6E-409C-BE32-E72D297353CC}">
              <c16:uniqueId val="{00000002-37F4-4F26-B24D-8E607AEFD047}"/>
            </c:ext>
          </c:extLst>
        </c:ser>
        <c:dLbls>
          <c:showLegendKey val="0"/>
          <c:showVal val="0"/>
          <c:showCatName val="0"/>
          <c:showSerName val="0"/>
          <c:showPercent val="0"/>
          <c:showBubbleSize val="0"/>
        </c:dLbls>
        <c:gapWidth val="182"/>
        <c:axId val="1902668688"/>
        <c:axId val="1902669648"/>
      </c:barChart>
      <c:catAx>
        <c:axId val="190266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669648"/>
        <c:crosses val="autoZero"/>
        <c:auto val="1"/>
        <c:lblAlgn val="ctr"/>
        <c:lblOffset val="100"/>
        <c:noMultiLvlLbl val="0"/>
      </c:catAx>
      <c:valAx>
        <c:axId val="1902669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66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المبيعات يوتيوب.xlsx]Sales by Customer!PivotTable1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Sales by Customer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Customer'!$B$3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by Customer'!$A$4:$A$14</c:f>
              <c:strCache>
                <c:ptCount val="10"/>
                <c:pt idx="0">
                  <c:v>Ahmed Mamdouh</c:v>
                </c:pt>
                <c:pt idx="1">
                  <c:v>Asaad Sherif</c:v>
                </c:pt>
                <c:pt idx="2">
                  <c:v>Ashraf Mahmoud</c:v>
                </c:pt>
                <c:pt idx="3">
                  <c:v>Ayman Sadeq</c:v>
                </c:pt>
                <c:pt idx="4">
                  <c:v>Hisham Fathy</c:v>
                </c:pt>
                <c:pt idx="5">
                  <c:v>Maryam Mahmoud</c:v>
                </c:pt>
                <c:pt idx="6">
                  <c:v>Mortada El-Mesiri</c:v>
                </c:pt>
                <c:pt idx="7">
                  <c:v>Mostafa Yousry</c:v>
                </c:pt>
                <c:pt idx="8">
                  <c:v>Sara El-Shafei</c:v>
                </c:pt>
                <c:pt idx="9">
                  <c:v>Sayed Afifi</c:v>
                </c:pt>
              </c:strCache>
            </c:strRef>
          </c:cat>
          <c:val>
            <c:numRef>
              <c:f>'Sales by Customer'!$B$4:$B$14</c:f>
              <c:numCache>
                <c:formatCode>General</c:formatCode>
                <c:ptCount val="10"/>
                <c:pt idx="0">
                  <c:v>11800</c:v>
                </c:pt>
                <c:pt idx="1">
                  <c:v>900</c:v>
                </c:pt>
                <c:pt idx="2">
                  <c:v>1900</c:v>
                </c:pt>
                <c:pt idx="3">
                  <c:v>4600</c:v>
                </c:pt>
                <c:pt idx="4">
                  <c:v>8000</c:v>
                </c:pt>
                <c:pt idx="5">
                  <c:v>25700</c:v>
                </c:pt>
                <c:pt idx="6">
                  <c:v>6900</c:v>
                </c:pt>
                <c:pt idx="7">
                  <c:v>6500</c:v>
                </c:pt>
                <c:pt idx="8">
                  <c:v>13900</c:v>
                </c:pt>
                <c:pt idx="9">
                  <c:v>67900</c:v>
                </c:pt>
              </c:numCache>
            </c:numRef>
          </c:val>
          <c:extLst>
            <c:ext xmlns:c16="http://schemas.microsoft.com/office/drawing/2014/chart" uri="{C3380CC4-5D6E-409C-BE32-E72D297353CC}">
              <c16:uniqueId val="{00000002-3820-476B-BC35-0EA48D422456}"/>
            </c:ext>
          </c:extLst>
        </c:ser>
        <c:dLbls>
          <c:showLegendKey val="0"/>
          <c:showVal val="0"/>
          <c:showCatName val="0"/>
          <c:showSerName val="0"/>
          <c:showPercent val="0"/>
          <c:showBubbleSize val="0"/>
        </c:dLbls>
        <c:gapWidth val="315"/>
        <c:overlap val="-40"/>
        <c:axId val="1021003184"/>
        <c:axId val="1021004144"/>
      </c:barChart>
      <c:catAx>
        <c:axId val="10210031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1004144"/>
        <c:crosses val="autoZero"/>
        <c:auto val="1"/>
        <c:lblAlgn val="ctr"/>
        <c:lblOffset val="100"/>
        <c:noMultiLvlLbl val="0"/>
      </c:catAx>
      <c:valAx>
        <c:axId val="10210041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100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المبيعات يوتيوب.xlsx]Sales Trend!PivotTable2</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Sales Trend</a:t>
            </a:r>
            <a:endParaRPr lang="ar-SA"/>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ar-S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'Sales Trend'!$A$4:$A$22</c:f>
              <c:strCache>
                <c:ptCount val="18"/>
                <c:pt idx="0">
                  <c:v>14/01/21</c:v>
                </c:pt>
                <c:pt idx="1">
                  <c:v>15/01/21</c:v>
                </c:pt>
                <c:pt idx="2">
                  <c:v>16/01/21</c:v>
                </c:pt>
                <c:pt idx="3">
                  <c:v>17/01/21</c:v>
                </c:pt>
                <c:pt idx="4">
                  <c:v>18/01/21</c:v>
                </c:pt>
                <c:pt idx="5">
                  <c:v>19/01/21</c:v>
                </c:pt>
                <c:pt idx="6">
                  <c:v>20/01/21</c:v>
                </c:pt>
                <c:pt idx="7">
                  <c:v>21/01/21</c:v>
                </c:pt>
                <c:pt idx="8">
                  <c:v>22/01/21</c:v>
                </c:pt>
                <c:pt idx="9">
                  <c:v>23/01/21</c:v>
                </c:pt>
                <c:pt idx="10">
                  <c:v>24/01/21</c:v>
                </c:pt>
                <c:pt idx="11">
                  <c:v>25/01/21</c:v>
                </c:pt>
                <c:pt idx="12">
                  <c:v>26/01/21</c:v>
                </c:pt>
                <c:pt idx="13">
                  <c:v>27/01/21</c:v>
                </c:pt>
                <c:pt idx="14">
                  <c:v>28/01/21</c:v>
                </c:pt>
                <c:pt idx="15">
                  <c:v>29/01/21</c:v>
                </c:pt>
                <c:pt idx="16">
                  <c:v>30/01/21</c:v>
                </c:pt>
                <c:pt idx="17">
                  <c:v>31/01/21</c:v>
                </c:pt>
              </c:strCache>
            </c:strRef>
          </c:cat>
          <c:val>
            <c:numRef>
              <c:f>'Sales Trend'!$B$4:$B$22</c:f>
              <c:numCache>
                <c:formatCode>General</c:formatCode>
                <c:ptCount val="18"/>
                <c:pt idx="0">
                  <c:v>10000</c:v>
                </c:pt>
                <c:pt idx="1">
                  <c:v>7000</c:v>
                </c:pt>
                <c:pt idx="2">
                  <c:v>5000</c:v>
                </c:pt>
                <c:pt idx="3">
                  <c:v>15000</c:v>
                </c:pt>
                <c:pt idx="4">
                  <c:v>20000</c:v>
                </c:pt>
                <c:pt idx="5">
                  <c:v>70000</c:v>
                </c:pt>
                <c:pt idx="6">
                  <c:v>4000</c:v>
                </c:pt>
                <c:pt idx="7">
                  <c:v>2000</c:v>
                </c:pt>
                <c:pt idx="8">
                  <c:v>3000</c:v>
                </c:pt>
                <c:pt idx="9">
                  <c:v>9000</c:v>
                </c:pt>
                <c:pt idx="10">
                  <c:v>16000</c:v>
                </c:pt>
                <c:pt idx="11">
                  <c:v>10000</c:v>
                </c:pt>
                <c:pt idx="12">
                  <c:v>1000</c:v>
                </c:pt>
                <c:pt idx="13">
                  <c:v>2000</c:v>
                </c:pt>
                <c:pt idx="14">
                  <c:v>500</c:v>
                </c:pt>
                <c:pt idx="15">
                  <c:v>1000</c:v>
                </c:pt>
                <c:pt idx="16">
                  <c:v>2000</c:v>
                </c:pt>
                <c:pt idx="17">
                  <c:v>5000</c:v>
                </c:pt>
              </c:numCache>
            </c:numRef>
          </c:val>
          <c:smooth val="0"/>
          <c:extLst>
            <c:ext xmlns:c16="http://schemas.microsoft.com/office/drawing/2014/chart" uri="{C3380CC4-5D6E-409C-BE32-E72D297353CC}">
              <c16:uniqueId val="{00000002-28B7-4765-9195-D4EF0583B0F8}"/>
            </c:ext>
          </c:extLst>
        </c:ser>
        <c:dLbls>
          <c:showLegendKey val="0"/>
          <c:showVal val="0"/>
          <c:showCatName val="0"/>
          <c:showSerName val="0"/>
          <c:showPercent val="0"/>
          <c:showBubbleSize val="0"/>
        </c:dLbls>
        <c:marker val="1"/>
        <c:smooth val="0"/>
        <c:axId val="1012311120"/>
        <c:axId val="1012306320"/>
      </c:lineChart>
      <c:catAx>
        <c:axId val="10123111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306320"/>
        <c:crosses val="autoZero"/>
        <c:auto val="1"/>
        <c:lblAlgn val="ctr"/>
        <c:lblOffset val="100"/>
        <c:noMultiLvlLbl val="0"/>
      </c:catAx>
      <c:valAx>
        <c:axId val="10123063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31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المبيعات يوتيوب.xlsx]Sales by Region!PivotTable3</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Region'!$A$4:$A$11</c:f>
              <c:strCache>
                <c:ptCount val="7"/>
                <c:pt idx="0">
                  <c:v>Aswan</c:v>
                </c:pt>
                <c:pt idx="1">
                  <c:v>Beheira</c:v>
                </c:pt>
                <c:pt idx="2">
                  <c:v>Cairo</c:v>
                </c:pt>
                <c:pt idx="3">
                  <c:v>Giza</c:v>
                </c:pt>
                <c:pt idx="4">
                  <c:v>Mansoura</c:v>
                </c:pt>
                <c:pt idx="5">
                  <c:v>Minya</c:v>
                </c:pt>
                <c:pt idx="6">
                  <c:v>Sharqia</c:v>
                </c:pt>
              </c:strCache>
            </c:strRef>
          </c:cat>
          <c:val>
            <c:numRef>
              <c:f>'Sales by Region'!$B$4:$B$11</c:f>
              <c:numCache>
                <c:formatCode>General</c:formatCode>
                <c:ptCount val="7"/>
                <c:pt idx="0">
                  <c:v>25800</c:v>
                </c:pt>
                <c:pt idx="1">
                  <c:v>7400</c:v>
                </c:pt>
                <c:pt idx="2">
                  <c:v>13700</c:v>
                </c:pt>
                <c:pt idx="3">
                  <c:v>7900</c:v>
                </c:pt>
                <c:pt idx="4">
                  <c:v>11600</c:v>
                </c:pt>
                <c:pt idx="5">
                  <c:v>67900</c:v>
                </c:pt>
                <c:pt idx="6">
                  <c:v>13800</c:v>
                </c:pt>
              </c:numCache>
            </c:numRef>
          </c:val>
          <c:extLst>
            <c:ext xmlns:c16="http://schemas.microsoft.com/office/drawing/2014/chart" uri="{C3380CC4-5D6E-409C-BE32-E72D297353CC}">
              <c16:uniqueId val="{00000002-7D1D-46FD-8176-370A79B4D329}"/>
            </c:ext>
          </c:extLst>
        </c:ser>
        <c:dLbls>
          <c:showLegendKey val="0"/>
          <c:showVal val="0"/>
          <c:showCatName val="0"/>
          <c:showSerName val="0"/>
          <c:showPercent val="0"/>
          <c:showBubbleSize val="0"/>
        </c:dLbls>
        <c:gapWidth val="115"/>
        <c:overlap val="-20"/>
        <c:axId val="1182778512"/>
        <c:axId val="1182776592"/>
      </c:barChart>
      <c:catAx>
        <c:axId val="11827785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2776592"/>
        <c:crosses val="autoZero"/>
        <c:auto val="1"/>
        <c:lblAlgn val="ctr"/>
        <c:lblOffset val="100"/>
        <c:noMultiLvlLbl val="0"/>
      </c:catAx>
      <c:valAx>
        <c:axId val="11827765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277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المبيعات يوتيوب.xlsx]Sales by Customer Type!PivotTable4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Sales by Customer Type</a:t>
            </a:r>
            <a:endParaRPr lang="ar-S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S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by Customer Type'!$B$3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EF9-4FB4-8D42-C890DB6AB0A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F9-4FB4-8D42-C890DB6AB0AD}"/>
              </c:ext>
            </c:extLst>
          </c:dPt>
          <c:cat>
            <c:strRef>
              <c:f>'Sales by Customer Type'!$A$4:$A$6</c:f>
              <c:strCache>
                <c:ptCount val="2"/>
                <c:pt idx="0">
                  <c:v>Key Customer</c:v>
                </c:pt>
                <c:pt idx="1">
                  <c:v>Regular Customer</c:v>
                </c:pt>
              </c:strCache>
            </c:strRef>
          </c:cat>
          <c:val>
            <c:numRef>
              <c:f>'Sales by Customer Type'!$B$4:$B$6</c:f>
              <c:numCache>
                <c:formatCode>General</c:formatCode>
                <c:ptCount val="2"/>
                <c:pt idx="0">
                  <c:v>121700</c:v>
                </c:pt>
                <c:pt idx="1">
                  <c:v>27600</c:v>
                </c:pt>
              </c:numCache>
            </c:numRef>
          </c:val>
          <c:extLst>
            <c:ext xmlns:c16="http://schemas.microsoft.com/office/drawing/2014/chart" uri="{C3380CC4-5D6E-409C-BE32-E72D297353CC}">
              <c16:uniqueId val="{00000004-3EF9-4FB4-8D42-C890DB6AB0A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المبيعات يوتيوب.xlsx]Sales by Sales Rep!PivotTable5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Sales Rep'!$B$3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Sales Rep'!$A$4:$A$9</c:f>
              <c:strCache>
                <c:ptCount val="5"/>
                <c:pt idx="0">
                  <c:v>Mamd</c:v>
                </c:pt>
                <c:pt idx="1">
                  <c:v>Mohamed</c:v>
                </c:pt>
                <c:pt idx="2">
                  <c:v>Mostafa</c:v>
                </c:pt>
                <c:pt idx="3">
                  <c:v>Nour</c:v>
                </c:pt>
                <c:pt idx="4">
                  <c:v>Sayed</c:v>
                </c:pt>
              </c:strCache>
            </c:strRef>
          </c:cat>
          <c:val>
            <c:numRef>
              <c:f>'Sales by Sales Rep'!$B$4:$B$9</c:f>
              <c:numCache>
                <c:formatCode>General</c:formatCode>
                <c:ptCount val="5"/>
                <c:pt idx="0">
                  <c:v>900</c:v>
                </c:pt>
                <c:pt idx="1">
                  <c:v>28700</c:v>
                </c:pt>
                <c:pt idx="2">
                  <c:v>81300</c:v>
                </c:pt>
                <c:pt idx="3">
                  <c:v>17600</c:v>
                </c:pt>
                <c:pt idx="4">
                  <c:v>19600</c:v>
                </c:pt>
              </c:numCache>
            </c:numRef>
          </c:val>
          <c:extLst>
            <c:ext xmlns:c16="http://schemas.microsoft.com/office/drawing/2014/chart" uri="{C3380CC4-5D6E-409C-BE32-E72D297353CC}">
              <c16:uniqueId val="{00000002-B894-42AD-AD8A-8BA9E4F15CA0}"/>
            </c:ext>
          </c:extLst>
        </c:ser>
        <c:dLbls>
          <c:dLblPos val="inEnd"/>
          <c:showLegendKey val="0"/>
          <c:showVal val="1"/>
          <c:showCatName val="0"/>
          <c:showSerName val="0"/>
          <c:showPercent val="0"/>
          <c:showBubbleSize val="0"/>
        </c:dLbls>
        <c:gapWidth val="115"/>
        <c:overlap val="-20"/>
        <c:axId val="1902668688"/>
        <c:axId val="1902669648"/>
      </c:barChart>
      <c:catAx>
        <c:axId val="19026686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2669648"/>
        <c:crosses val="autoZero"/>
        <c:auto val="1"/>
        <c:lblAlgn val="ctr"/>
        <c:lblOffset val="100"/>
        <c:noMultiLvlLbl val="0"/>
      </c:catAx>
      <c:valAx>
        <c:axId val="19026696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266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31750</xdr:colOff>
      <xdr:row>1</xdr:row>
      <xdr:rowOff>57150</xdr:rowOff>
    </xdr:from>
    <xdr:to>
      <xdr:col>10</xdr:col>
      <xdr:colOff>336550</xdr:colOff>
      <xdr:row>16</xdr:row>
      <xdr:rowOff>38100</xdr:rowOff>
    </xdr:to>
    <xdr:graphicFrame macro="">
      <xdr:nvGraphicFramePr>
        <xdr:cNvPr id="2" name="Chart 1">
          <a:extLst>
            <a:ext uri="{FF2B5EF4-FFF2-40B4-BE49-F238E27FC236}">
              <a16:creationId xmlns:a16="http://schemas.microsoft.com/office/drawing/2014/main" id="{06ED8075-3D4D-EA24-296E-6A8CBF0D4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469900</xdr:colOff>
      <xdr:row>3</xdr:row>
      <xdr:rowOff>76200</xdr:rowOff>
    </xdr:from>
    <xdr:to>
      <xdr:col>6</xdr:col>
      <xdr:colOff>774700</xdr:colOff>
      <xdr:row>18</xdr:row>
      <xdr:rowOff>57150</xdr:rowOff>
    </xdr:to>
    <xdr:graphicFrame macro="">
      <xdr:nvGraphicFramePr>
        <xdr:cNvPr id="2" name="Chart 1">
          <a:extLst>
            <a:ext uri="{FF2B5EF4-FFF2-40B4-BE49-F238E27FC236}">
              <a16:creationId xmlns:a16="http://schemas.microsoft.com/office/drawing/2014/main" id="{14F74B74-8865-D817-7992-4E7C93244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342900</xdr:colOff>
      <xdr:row>3</xdr:row>
      <xdr:rowOff>6350</xdr:rowOff>
    </xdr:from>
    <xdr:to>
      <xdr:col>10</xdr:col>
      <xdr:colOff>38100</xdr:colOff>
      <xdr:row>17</xdr:row>
      <xdr:rowOff>171450</xdr:rowOff>
    </xdr:to>
    <xdr:graphicFrame macro="">
      <xdr:nvGraphicFramePr>
        <xdr:cNvPr id="2" name="Chart 1">
          <a:extLst>
            <a:ext uri="{FF2B5EF4-FFF2-40B4-BE49-F238E27FC236}">
              <a16:creationId xmlns:a16="http://schemas.microsoft.com/office/drawing/2014/main" id="{9178D796-9EB5-4F59-4C9B-1170386CA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342900</xdr:colOff>
      <xdr:row>2</xdr:row>
      <xdr:rowOff>57150</xdr:rowOff>
    </xdr:from>
    <xdr:to>
      <xdr:col>7</xdr:col>
      <xdr:colOff>146050</xdr:colOff>
      <xdr:row>17</xdr:row>
      <xdr:rowOff>38100</xdr:rowOff>
    </xdr:to>
    <xdr:graphicFrame macro="">
      <xdr:nvGraphicFramePr>
        <xdr:cNvPr id="2" name="Chart 1">
          <a:extLst>
            <a:ext uri="{FF2B5EF4-FFF2-40B4-BE49-F238E27FC236}">
              <a16:creationId xmlns:a16="http://schemas.microsoft.com/office/drawing/2014/main" id="{A1DAB27E-7FE6-0AC6-A4E6-B113F0175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285750</xdr:colOff>
      <xdr:row>2</xdr:row>
      <xdr:rowOff>95250</xdr:rowOff>
    </xdr:from>
    <xdr:to>
      <xdr:col>9</xdr:col>
      <xdr:colOff>590550</xdr:colOff>
      <xdr:row>17</xdr:row>
      <xdr:rowOff>76200</xdr:rowOff>
    </xdr:to>
    <xdr:graphicFrame macro="">
      <xdr:nvGraphicFramePr>
        <xdr:cNvPr id="2" name="Chart 1">
          <a:extLst>
            <a:ext uri="{FF2B5EF4-FFF2-40B4-BE49-F238E27FC236}">
              <a16:creationId xmlns:a16="http://schemas.microsoft.com/office/drawing/2014/main" id="{3BE4C64C-9699-9D80-E973-86BE191F8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289583</xdr:colOff>
      <xdr:row>5</xdr:row>
      <xdr:rowOff>54777</xdr:rowOff>
    </xdr:from>
    <xdr:to>
      <xdr:col>18</xdr:col>
      <xdr:colOff>537302</xdr:colOff>
      <xdr:row>20</xdr:row>
      <xdr:rowOff>76547</xdr:rowOff>
    </xdr:to>
    <xdr:graphicFrame macro="">
      <xdr:nvGraphicFramePr>
        <xdr:cNvPr id="13" name="Chart 12">
          <a:extLst>
            <a:ext uri="{FF2B5EF4-FFF2-40B4-BE49-F238E27FC236}">
              <a16:creationId xmlns:a16="http://schemas.microsoft.com/office/drawing/2014/main" id="{2BB2A78C-0133-4134-B5F9-03D4309B5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xdr:colOff>
      <xdr:row>5</xdr:row>
      <xdr:rowOff>48846</xdr:rowOff>
    </xdr:from>
    <xdr:to>
      <xdr:col>11</xdr:col>
      <xdr:colOff>254004</xdr:colOff>
      <xdr:row>20</xdr:row>
      <xdr:rowOff>70616</xdr:rowOff>
    </xdr:to>
    <xdr:graphicFrame macro="">
      <xdr:nvGraphicFramePr>
        <xdr:cNvPr id="14" name="Chart 13">
          <a:extLst>
            <a:ext uri="{FF2B5EF4-FFF2-40B4-BE49-F238E27FC236}">
              <a16:creationId xmlns:a16="http://schemas.microsoft.com/office/drawing/2014/main" id="{BBE84C47-B491-43E4-920A-FE04DE28A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12220</xdr:colOff>
      <xdr:row>20</xdr:row>
      <xdr:rowOff>96992</xdr:rowOff>
    </xdr:from>
    <xdr:to>
      <xdr:col>11</xdr:col>
      <xdr:colOff>266220</xdr:colOff>
      <xdr:row>36</xdr:row>
      <xdr:rowOff>24423</xdr:rowOff>
    </xdr:to>
    <xdr:graphicFrame macro="">
      <xdr:nvGraphicFramePr>
        <xdr:cNvPr id="15" name="Chart 14">
          <a:extLst>
            <a:ext uri="{FF2B5EF4-FFF2-40B4-BE49-F238E27FC236}">
              <a16:creationId xmlns:a16="http://schemas.microsoft.com/office/drawing/2014/main" id="{11CE0DB0-AE22-42AD-978E-6818F8E4E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314017</xdr:colOff>
      <xdr:row>20</xdr:row>
      <xdr:rowOff>84432</xdr:rowOff>
    </xdr:from>
    <xdr:to>
      <xdr:col>18</xdr:col>
      <xdr:colOff>561736</xdr:colOff>
      <xdr:row>36</xdr:row>
      <xdr:rowOff>24423</xdr:rowOff>
    </xdr:to>
    <xdr:graphicFrame macro="">
      <xdr:nvGraphicFramePr>
        <xdr:cNvPr id="16" name="Chart 15">
          <a:extLst>
            <a:ext uri="{FF2B5EF4-FFF2-40B4-BE49-F238E27FC236}">
              <a16:creationId xmlns:a16="http://schemas.microsoft.com/office/drawing/2014/main" id="{CCBB9D5E-3ED9-4B0B-AA1E-3F1DF590A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574291</xdr:colOff>
      <xdr:row>5</xdr:row>
      <xdr:rowOff>73270</xdr:rowOff>
    </xdr:from>
    <xdr:to>
      <xdr:col>31</xdr:col>
      <xdr:colOff>573941</xdr:colOff>
      <xdr:row>35</xdr:row>
      <xdr:rowOff>170961</xdr:rowOff>
    </xdr:to>
    <xdr:graphicFrame macro="">
      <xdr:nvGraphicFramePr>
        <xdr:cNvPr id="17" name="Chart 16">
          <a:extLst>
            <a:ext uri="{FF2B5EF4-FFF2-40B4-BE49-F238E27FC236}">
              <a16:creationId xmlns:a16="http://schemas.microsoft.com/office/drawing/2014/main" id="{140C4C99-A9B0-4C1C-A427-2BD030031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32</xdr:col>
      <xdr:colOff>57988</xdr:colOff>
      <xdr:row>21</xdr:row>
      <xdr:rowOff>170962</xdr:rowOff>
    </xdr:from>
    <xdr:to>
      <xdr:col>33</xdr:col>
      <xdr:colOff>586154</xdr:colOff>
      <xdr:row>35</xdr:row>
      <xdr:rowOff>24423</xdr:rowOff>
    </xdr:to>
    <mc:AlternateContent xmlns:mc="http://schemas.openxmlformats.org/markup-compatibility/2006">
      <mc:Choice xmlns:a14="http://schemas.microsoft.com/office/drawing/2010/main" Requires="a14">
        <xdr:graphicFrame macro="">
          <xdr:nvGraphicFramePr>
            <xdr:cNvPr id="22" name="Customer Type">
              <a:extLst>
                <a:ext uri="{FF2B5EF4-FFF2-40B4-BE49-F238E27FC236}">
                  <a16:creationId xmlns:a16="http://schemas.microsoft.com/office/drawing/2014/main" id="{16B84390-39BE-4C25-52AE-9FEC40A3E667}"/>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9596450" y="4017597"/>
              <a:ext cx="1138742" cy="24178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61056</xdr:colOff>
      <xdr:row>6</xdr:row>
      <xdr:rowOff>28680</xdr:rowOff>
    </xdr:from>
    <xdr:to>
      <xdr:col>34</xdr:col>
      <xdr:colOff>0</xdr:colOff>
      <xdr:row>21</xdr:row>
      <xdr:rowOff>122115</xdr:rowOff>
    </xdr:to>
    <mc:AlternateContent xmlns:mc="http://schemas.openxmlformats.org/markup-compatibility/2006">
      <mc:Choice xmlns:a14="http://schemas.microsoft.com/office/drawing/2010/main" Requires="a14">
        <xdr:graphicFrame macro="">
          <xdr:nvGraphicFramePr>
            <xdr:cNvPr id="23" name="Region">
              <a:extLst>
                <a:ext uri="{FF2B5EF4-FFF2-40B4-BE49-F238E27FC236}">
                  <a16:creationId xmlns:a16="http://schemas.microsoft.com/office/drawing/2014/main" id="{E00EB16B-65B2-5B8D-E132-1BF015E9B9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599518" y="1127718"/>
              <a:ext cx="1160097" cy="28410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ah" refreshedDate="46053.712837268518" backgroundQuery="1" createdVersion="8" refreshedVersion="8" minRefreshableVersion="3" recordCount="0" supportSubquery="1" supportAdvancedDrill="1" xr:uid="{C7F2919C-DF67-4F21-B3F6-E66941C3EF01}">
  <cacheSource type="external" connectionId="1"/>
  <cacheFields count="3">
    <cacheField name="[الرئيسي].[Customer Name].[Customer Name]" caption="Customer Name" numFmtId="0" hierarchy="12" level="1">
      <sharedItems count="10">
        <s v="Ahmed Mamdouh"/>
        <s v="Asaad Sherif"/>
        <s v="Ashraf Mahmoud"/>
        <s v="Ayman Sadeq"/>
        <s v="Hisham Fathy"/>
        <s v="Maryam Mahmoud"/>
        <s v="Mortada El-Mesiri"/>
        <s v="Mostafa Yousry"/>
        <s v="Sara El-Shafei"/>
        <s v="Sayed Afifi"/>
      </sharedItems>
    </cacheField>
    <cacheField name="[Measures].[Sum of Net Amount 2]" caption="Sum of Net Amount 2" numFmtId="0" hierarchy="30" level="32767"/>
    <cacheField name="[الرئيسي].[Region].[Region]" caption="Region" numFmtId="0" hierarchy="18" level="1">
      <sharedItems containsSemiMixedTypes="0" containsNonDate="0" containsString="0"/>
    </cacheField>
  </cacheFields>
  <cacheHierarchies count="33">
    <cacheHierarchy uniqueName="[Range 1].[Customer Name]" caption="Customer Name" attribute="1" defaultMemberUniqueName="[Range 1].[Customer Name].[All]" allUniqueName="[Range 1].[Customer Nam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Net Amount]" caption="Net Amount" attribute="1" defaultMemberUniqueName="[Range 1].[Net Amount].[All]" allUniqueName="[Range 1].[Net Amount].[All]" dimensionUniqueName="[Range 1]" displayFolder="" count="0" memberValueDatatype="2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ales Percentage]" caption="Sales Percentage" attribute="1" defaultMemberUniqueName="[Range 1].[Sales Percentage].[All]" allUniqueName="[Range 1].[Sales Percentage].[All]" dimensionUniqueName="[Range 1]" displayFolder="" count="0" memberValueDatatype="5" unbalanced="0"/>
    <cacheHierarchy uniqueName="[SMALL_TABLE].[Customer Name]" caption="Customer Name" attribute="1" defaultMemberUniqueName="[SMALL_TABLE].[Customer Name].[All]" allUniqueName="[SMALL_TABLE].[Customer Name].[All]" dimensionUniqueName="[SMALL_TABLE]" displayFolder="" count="0" memberValueDatatype="130" unbalanced="0"/>
    <cacheHierarchy uniqueName="[SMALL_TABLE].[Region]" caption="Region" attribute="1" defaultMemberUniqueName="[SMALL_TABLE].[Region].[All]" allUniqueName="[SMALL_TABLE].[Region].[All]" dimensionUniqueName="[SMALL_TABLE]" displayFolder="" count="0" memberValueDatatype="130" unbalanced="0"/>
    <cacheHierarchy uniqueName="[SMALL_TABLE].[Net Amount]" caption="Net Amount" attribute="1" defaultMemberUniqueName="[SMALL_TABLE].[Net Amount].[All]" allUniqueName="[SMALL_TABLE].[Net Amount].[All]" dimensionUniqueName="[SMALL_TABLE]" displayFolder="" count="0" memberValueDatatype="20" unbalanced="0"/>
    <cacheHierarchy uniqueName="[SMALL_TABLE].[Customer Type]" caption="Customer Type" attribute="1" defaultMemberUniqueName="[SMALL_TABLE].[Customer Type].[All]" allUniqueName="[SMALL_TABLE].[Customer Type].[All]" dimensionUniqueName="[SMALL_TABLE]" displayFolder="" count="2" memberValueDatatype="130" unbalanced="0"/>
    <cacheHierarchy uniqueName="[SMALL_TABLE].[Sales Percentage]" caption="Sales Percentage" attribute="1" defaultMemberUniqueName="[SMALL_TABLE].[Sales Percentage].[All]" allUniqueName="[SMALL_TABLE].[Sales Percentage].[All]" dimensionUniqueName="[SMALL_TABLE]"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الرئيسي].[Customer Name]" caption="Customer Name" attribute="1" defaultMemberUniqueName="[الرئيسي].[Customer Name].[All]" allUniqueName="[الرئيسي].[Customer Name].[All]" dimensionUniqueName="[الرئيسي]" displayFolder="" count="2" memberValueDatatype="130" unbalanced="0">
      <fieldsUsage count="2">
        <fieldUsage x="-1"/>
        <fieldUsage x="0"/>
      </fieldsUsage>
    </cacheHierarchy>
    <cacheHierarchy uniqueName="[الرئيسي].[Amount]" caption="Amount" attribute="1" defaultMemberUniqueName="[الرئيسي].[Amount].[All]" allUniqueName="[الرئيسي].[Amount].[All]" dimensionUniqueName="[الرئيسي]" displayFolder="" count="0" memberValueDatatype="20" unbalanced="0"/>
    <cacheHierarchy uniqueName="[الرئيسي].[Transaction Type]" caption="Transaction Type" attribute="1" defaultMemberUniqueName="[الرئيسي].[Transaction Type].[All]" allUniqueName="[الرئيسي].[Transaction Type].[All]" dimensionUniqueName="[الرئيسي]" displayFolder="" count="0" memberValueDatatype="130" unbalanced="0"/>
    <cacheHierarchy uniqueName="[الرئيسي].[Amount 2]" caption="Amount 2" attribute="1" defaultMemberUniqueName="[الرئيسي].[Amount 2].[All]" allUniqueName="[الرئيسي].[Amount 2].[All]" dimensionUniqueName="[الرئيسي]" displayFolder="" count="0" memberValueDatatype="20" unbalanced="0"/>
    <cacheHierarchy uniqueName="[الرئيسي].[Tax]" caption="Tax" attribute="1" defaultMemberUniqueName="[الرئيسي].[Tax].[All]" allUniqueName="[الرئيسي].[Tax].[All]" dimensionUniqueName="[الرئيسي]" displayFolder="" count="0" memberValueDatatype="20" unbalanced="0"/>
    <cacheHierarchy uniqueName="[الرئيسي].[Net Amount]" caption="Net Amount" attribute="1" defaultMemberUniqueName="[الرئيسي].[Net Amount].[All]" allUniqueName="[الرئيسي].[Net Amount].[All]" dimensionUniqueName="[الرئيسي]" displayFolder="" count="0" memberValueDatatype="20" unbalanced="0"/>
    <cacheHierarchy uniqueName="[الرئيسي].[Region]" caption="Region" attribute="1" defaultMemberUniqueName="[الرئيسي].[Region].[All]" allUniqueName="[الرئيسي].[Region].[All]" dimensionUniqueName="[الرئيسي]" displayFolder="" count="2" memberValueDatatype="130" unbalanced="0">
      <fieldsUsage count="2">
        <fieldUsage x="-1"/>
        <fieldUsage x="2"/>
      </fieldsUsage>
    </cacheHierarchy>
    <cacheHierarchy uniqueName="[الرئيسي].[Transaction Date]" caption="Transaction Date" attribute="1" time="1" defaultMemberUniqueName="[الرئيسي].[Transaction Date].[All]" allUniqueName="[الرئيسي].[Transaction Date].[All]" dimensionUniqueName="[الرئيسي]" displayFolder="" count="0" memberValueDatatype="7" unbalanced="0"/>
    <cacheHierarchy uniqueName="[الرئيسي].[Sales Rep]" caption="Sales Rep" attribute="1" defaultMemberUniqueName="[الرئيسي].[Sales Rep].[All]" allUniqueName="[الرئيسي].[Sales Rep].[All]" dimensionUniqueName="[الرئيسي]" displayFolder="" count="0" memberValueDatatype="130" unbalanced="0"/>
    <cacheHierarchy uniqueName="[الرئيسي].[Collection Date]" caption="Collection Date" attribute="1" time="1" defaultMemberUniqueName="[الرئيسي].[Collection Date].[All]" allUniqueName="[الرئيسي].[Collection Date].[All]" dimensionUniqueName="[الرئيسي]" displayFolder="" count="0" memberValueDatatype="7" unbalanced="0"/>
    <cacheHierarchy uniqueName="[الرئيسي].[Remaining Days]" caption="Remaining Days" attribute="1" defaultMemberUniqueName="[الرئيسي].[Remaining Days].[All]" allUniqueName="[الرئيسي].[Remaining Days].[All]" dimensionUniqueName="[الرئيسي]" displayFolder="" count="0" memberValueDatatype="20" unbalanced="0"/>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الرئيسي]" caption="__XL_Count الرئيسي" measure="1" displayFolder="" measureGroup="الرئيسي" count="0" hidden="1"/>
    <cacheHierarchy uniqueName="[Measures].[__XL_Count SMALL_TABLE]" caption="__XL_Count SMALL_TABLE" measure="1" displayFolder="" measureGroup="SMALL_TABLE" count="0" hidden="1"/>
    <cacheHierarchy uniqueName="[Measures].[__لم يتم تعريف أية قياسات]" caption="__لم يتم تعريف أية قياسات" measure="1" displayFolder="" count="0" hidden="1"/>
    <cacheHierarchy uniqueName="[Measures].[Sum of Amount 2]" caption="Sum of Amount 2" measure="1" displayFolder="" measureGroup="الرئيسي" count="0" hidden="1">
      <extLst>
        <ext xmlns:x15="http://schemas.microsoft.com/office/spreadsheetml/2010/11/main" uri="{B97F6D7D-B522-45F9-BDA1-12C45D357490}">
          <x15:cacheHierarchy aggregatedColumn="13"/>
        </ext>
      </extLst>
    </cacheHierarchy>
    <cacheHierarchy uniqueName="[Measures].[Sum of Net Amount 2]" caption="Sum of Net Amount 2" measure="1" displayFolder="" measureGroup="الرئيسي"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mount 2 2]" caption="Sum of Amount 2 2" measure="1" displayFolder="" measureGroup="الرئيسي" count="0" hidden="1">
      <extLst>
        <ext xmlns:x15="http://schemas.microsoft.com/office/spreadsheetml/2010/11/main" uri="{B97F6D7D-B522-45F9-BDA1-12C45D357490}">
          <x15:cacheHierarchy aggregatedColumn="15"/>
        </ext>
      </extLst>
    </cacheHierarchy>
    <cacheHierarchy uniqueName="[Measures].[Sum of Net Amount 3]" caption="Sum of Net Amount 3" measure="1" displayFolder="" measureGroup="SMALL_TABL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Range 1" uniqueName="[Range 1]" caption="Range 1"/>
    <dimension name="SMALL_TABLE" uniqueName="[SMALL_TABLE]" caption="SMALL_TABLE"/>
    <dimension name="Table3" uniqueName="[Table3]" caption="Table3"/>
    <dimension name="Table4" uniqueName="[Table4]" caption="Table4"/>
    <dimension name="الرئيسي" uniqueName="[الرئيسي]" caption="الرئيسي"/>
  </dimensions>
  <measureGroups count="5">
    <measureGroup name="Range 1" caption="Range 1"/>
    <measureGroup name="SMALL_TABLE" caption="SMALL_TABLE"/>
    <measureGroup name="Table3" caption="Table3"/>
    <measureGroup name="Table4" caption="Table4"/>
    <measureGroup name="الرئيسي" caption="الرئيسي"/>
  </measureGroups>
  <maps count="6">
    <map measureGroup="0" dimension="1"/>
    <map measureGroup="1" dimension="2"/>
    <map measureGroup="2" dimension="3"/>
    <map measureGroup="3" dimension="4"/>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ah" refreshedDate="46053.712839814812" backgroundQuery="1" createdVersion="8" refreshedVersion="8" minRefreshableVersion="3" recordCount="0" supportSubquery="1" supportAdvancedDrill="1" xr:uid="{81C76475-233B-474D-A12C-7EA1A3B1F9B3}">
  <cacheSource type="external" connectionId="1"/>
  <cacheFields count="3">
    <cacheField name="[SMALL_TABLE].[Customer Type].[Customer Type]" caption="Customer Type" numFmtId="0" hierarchy="8" level="1">
      <sharedItems count="2">
        <s v="Key Customer"/>
        <s v="Regular Customer"/>
      </sharedItems>
    </cacheField>
    <cacheField name="[Measures].[Sum of Net Amount 3]" caption="Sum of Net Amount 3" numFmtId="0" hierarchy="32" level="32767"/>
    <cacheField name="[الرئيسي].[Region].[Region]" caption="Region" numFmtId="0" hierarchy="18" level="1">
      <sharedItems containsSemiMixedTypes="0" containsNonDate="0" containsString="0"/>
    </cacheField>
  </cacheFields>
  <cacheHierarchies count="33">
    <cacheHierarchy uniqueName="[Range 1].[Customer Name]" caption="Customer Name" attribute="1" defaultMemberUniqueName="[Range 1].[Customer Name].[All]" allUniqueName="[Range 1].[Customer Nam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Net Amount]" caption="Net Amount" attribute="1" defaultMemberUniqueName="[Range 1].[Net Amount].[All]" allUniqueName="[Range 1].[Net Amount].[All]" dimensionUniqueName="[Range 1]" displayFolder="" count="0" memberValueDatatype="2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ales Percentage]" caption="Sales Percentage" attribute="1" defaultMemberUniqueName="[Range 1].[Sales Percentage].[All]" allUniqueName="[Range 1].[Sales Percentage].[All]" dimensionUniqueName="[Range 1]" displayFolder="" count="0" memberValueDatatype="5" unbalanced="0"/>
    <cacheHierarchy uniqueName="[SMALL_TABLE].[Customer Name]" caption="Customer Name" attribute="1" defaultMemberUniqueName="[SMALL_TABLE].[Customer Name].[All]" allUniqueName="[SMALL_TABLE].[Customer Name].[All]" dimensionUniqueName="[SMALL_TABLE]" displayFolder="" count="0" memberValueDatatype="130" unbalanced="0"/>
    <cacheHierarchy uniqueName="[SMALL_TABLE].[Region]" caption="Region" attribute="1" defaultMemberUniqueName="[SMALL_TABLE].[Region].[All]" allUniqueName="[SMALL_TABLE].[Region].[All]" dimensionUniqueName="[SMALL_TABLE]" displayFolder="" count="0" memberValueDatatype="130" unbalanced="0"/>
    <cacheHierarchy uniqueName="[SMALL_TABLE].[Net Amount]" caption="Net Amount" attribute="1" defaultMemberUniqueName="[SMALL_TABLE].[Net Amount].[All]" allUniqueName="[SMALL_TABLE].[Net Amount].[All]" dimensionUniqueName="[SMALL_TABLE]" displayFolder="" count="0" memberValueDatatype="20" unbalanced="0"/>
    <cacheHierarchy uniqueName="[SMALL_TABLE].[Customer Type]" caption="Customer Type" attribute="1" defaultMemberUniqueName="[SMALL_TABLE].[Customer Type].[All]" allUniqueName="[SMALL_TABLE].[Customer Type].[All]" dimensionUniqueName="[SMALL_TABLE]" displayFolder="" count="2" memberValueDatatype="130" unbalanced="0">
      <fieldsUsage count="2">
        <fieldUsage x="-1"/>
        <fieldUsage x="0"/>
      </fieldsUsage>
    </cacheHierarchy>
    <cacheHierarchy uniqueName="[SMALL_TABLE].[Sales Percentage]" caption="Sales Percentage" attribute="1" defaultMemberUniqueName="[SMALL_TABLE].[Sales Percentage].[All]" allUniqueName="[SMALL_TABLE].[Sales Percentage].[All]" dimensionUniqueName="[SMALL_TABLE]"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الرئيسي].[Customer Name]" caption="Customer Name" attribute="1" defaultMemberUniqueName="[الرئيسي].[Customer Name].[All]" allUniqueName="[الرئيسي].[Customer Name].[All]" dimensionUniqueName="[الرئيسي]" displayFolder="" count="0" memberValueDatatype="130" unbalanced="0"/>
    <cacheHierarchy uniqueName="[الرئيسي].[Amount]" caption="Amount" attribute="1" defaultMemberUniqueName="[الرئيسي].[Amount].[All]" allUniqueName="[الرئيسي].[Amount].[All]" dimensionUniqueName="[الرئيسي]" displayFolder="" count="0" memberValueDatatype="20" unbalanced="0"/>
    <cacheHierarchy uniqueName="[الرئيسي].[Transaction Type]" caption="Transaction Type" attribute="1" defaultMemberUniqueName="[الرئيسي].[Transaction Type].[All]" allUniqueName="[الرئيسي].[Transaction Type].[All]" dimensionUniqueName="[الرئيسي]" displayFolder="" count="0" memberValueDatatype="130" unbalanced="0"/>
    <cacheHierarchy uniqueName="[الرئيسي].[Amount 2]" caption="Amount 2" attribute="1" defaultMemberUniqueName="[الرئيسي].[Amount 2].[All]" allUniqueName="[الرئيسي].[Amount 2].[All]" dimensionUniqueName="[الرئيسي]" displayFolder="" count="0" memberValueDatatype="20" unbalanced="0"/>
    <cacheHierarchy uniqueName="[الرئيسي].[Tax]" caption="Tax" attribute="1" defaultMemberUniqueName="[الرئيسي].[Tax].[All]" allUniqueName="[الرئيسي].[Tax].[All]" dimensionUniqueName="[الرئيسي]" displayFolder="" count="0" memberValueDatatype="20" unbalanced="0"/>
    <cacheHierarchy uniqueName="[الرئيسي].[Net Amount]" caption="Net Amount" attribute="1" defaultMemberUniqueName="[الرئيسي].[Net Amount].[All]" allUniqueName="[الرئيسي].[Net Amount].[All]" dimensionUniqueName="[الرئيسي]" displayFolder="" count="0" memberValueDatatype="20" unbalanced="0"/>
    <cacheHierarchy uniqueName="[الرئيسي].[Region]" caption="Region" attribute="1" defaultMemberUniqueName="[الرئيسي].[Region].[All]" allUniqueName="[الرئيسي].[Region].[All]" dimensionUniqueName="[الرئيسي]" displayFolder="" count="2" memberValueDatatype="130" unbalanced="0">
      <fieldsUsage count="2">
        <fieldUsage x="-1"/>
        <fieldUsage x="2"/>
      </fieldsUsage>
    </cacheHierarchy>
    <cacheHierarchy uniqueName="[الرئيسي].[Transaction Date]" caption="Transaction Date" attribute="1" time="1" defaultMemberUniqueName="[الرئيسي].[Transaction Date].[All]" allUniqueName="[الرئيسي].[Transaction Date].[All]" dimensionUniqueName="[الرئيسي]" displayFolder="" count="0" memberValueDatatype="7" unbalanced="0"/>
    <cacheHierarchy uniqueName="[الرئيسي].[Sales Rep]" caption="Sales Rep" attribute="1" defaultMemberUniqueName="[الرئيسي].[Sales Rep].[All]" allUniqueName="[الرئيسي].[Sales Rep].[All]" dimensionUniqueName="[الرئيسي]" displayFolder="" count="0" memberValueDatatype="130" unbalanced="0"/>
    <cacheHierarchy uniqueName="[الرئيسي].[Collection Date]" caption="Collection Date" attribute="1" time="1" defaultMemberUniqueName="[الرئيسي].[Collection Date].[All]" allUniqueName="[الرئيسي].[Collection Date].[All]" dimensionUniqueName="[الرئيسي]" displayFolder="" count="0" memberValueDatatype="7" unbalanced="0"/>
    <cacheHierarchy uniqueName="[الرئيسي].[Remaining Days]" caption="Remaining Days" attribute="1" defaultMemberUniqueName="[الرئيسي].[Remaining Days].[All]" allUniqueName="[الرئيسي].[Remaining Days].[All]" dimensionUniqueName="[الرئيسي]" displayFolder="" count="0" memberValueDatatype="20" unbalanced="0"/>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الرئيسي]" caption="__XL_Count الرئيسي" measure="1" displayFolder="" measureGroup="الرئيسي" count="0" hidden="1"/>
    <cacheHierarchy uniqueName="[Measures].[__XL_Count SMALL_TABLE]" caption="__XL_Count SMALL_TABLE" measure="1" displayFolder="" measureGroup="SMALL_TABLE" count="0" hidden="1"/>
    <cacheHierarchy uniqueName="[Measures].[__لم يتم تعريف أية قياسات]" caption="__لم يتم تعريف أية قياسات" measure="1" displayFolder="" count="0" hidden="1"/>
    <cacheHierarchy uniqueName="[Measures].[Sum of Amount 2]" caption="Sum of Amount 2" measure="1" displayFolder="" measureGroup="الرئيسي" count="0" hidden="1">
      <extLst>
        <ext xmlns:x15="http://schemas.microsoft.com/office/spreadsheetml/2010/11/main" uri="{B97F6D7D-B522-45F9-BDA1-12C45D357490}">
          <x15:cacheHierarchy aggregatedColumn="13"/>
        </ext>
      </extLst>
    </cacheHierarchy>
    <cacheHierarchy uniqueName="[Measures].[Sum of Net Amount 2]" caption="Sum of Net Amount 2" measure="1" displayFolder="" measureGroup="الرئيسي" count="0" hidden="1">
      <extLst>
        <ext xmlns:x15="http://schemas.microsoft.com/office/spreadsheetml/2010/11/main" uri="{B97F6D7D-B522-45F9-BDA1-12C45D357490}">
          <x15:cacheHierarchy aggregatedColumn="17"/>
        </ext>
      </extLst>
    </cacheHierarchy>
    <cacheHierarchy uniqueName="[Measures].[Sum of Amount 2 2]" caption="Sum of Amount 2 2" measure="1" displayFolder="" measureGroup="الرئيسي" count="0" hidden="1">
      <extLst>
        <ext xmlns:x15="http://schemas.microsoft.com/office/spreadsheetml/2010/11/main" uri="{B97F6D7D-B522-45F9-BDA1-12C45D357490}">
          <x15:cacheHierarchy aggregatedColumn="15"/>
        </ext>
      </extLst>
    </cacheHierarchy>
    <cacheHierarchy uniqueName="[Measures].[Sum of Net Amount 3]" caption="Sum of Net Amount 3" measure="1" displayFolder="" measureGroup="SMALL_TABL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Range 1" uniqueName="[Range 1]" caption="Range 1"/>
    <dimension name="SMALL_TABLE" uniqueName="[SMALL_TABLE]" caption="SMALL_TABLE"/>
    <dimension name="Table3" uniqueName="[Table3]" caption="Table3"/>
    <dimension name="Table4" uniqueName="[Table4]" caption="Table4"/>
    <dimension name="الرئيسي" uniqueName="[الرئيسي]" caption="الرئيسي"/>
  </dimensions>
  <measureGroups count="5">
    <measureGroup name="Range 1" caption="Range 1"/>
    <measureGroup name="SMALL_TABLE" caption="SMALL_TABLE"/>
    <measureGroup name="Table3" caption="Table3"/>
    <measureGroup name="Table4" caption="Table4"/>
    <measureGroup name="الرئيسي" caption="الرئيسي"/>
  </measureGroups>
  <maps count="6">
    <map measureGroup="0" dimension="1"/>
    <map measureGroup="1" dimension="2"/>
    <map measureGroup="2" dimension="3"/>
    <map measureGroup="3" dimension="4"/>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ah" refreshedDate="46053.712840277774" backgroundQuery="1" createdVersion="8" refreshedVersion="8" minRefreshableVersion="3" recordCount="0" supportSubquery="1" supportAdvancedDrill="1" xr:uid="{076C6839-3A8C-48E9-B77C-A122D6A2B634}">
  <cacheSource type="external" connectionId="1"/>
  <cacheFields count="2">
    <cacheField name="[الرئيسي].[Region].[Region]" caption="Region" numFmtId="0" hierarchy="18" level="1">
      <sharedItems count="7">
        <s v="Aswan"/>
        <s v="Beheira"/>
        <s v="Cairo"/>
        <s v="Giza"/>
        <s v="Mansoura"/>
        <s v="Minya"/>
        <s v="Sharqia"/>
      </sharedItems>
    </cacheField>
    <cacheField name="[Measures].[Sum of Net Amount 2]" caption="Sum of Net Amount 2" numFmtId="0" hierarchy="30" level="32767"/>
  </cacheFields>
  <cacheHierarchies count="33">
    <cacheHierarchy uniqueName="[Range 1].[Customer Name]" caption="Customer Name" attribute="1" defaultMemberUniqueName="[Range 1].[Customer Name].[All]" allUniqueName="[Range 1].[Customer Nam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Net Amount]" caption="Net Amount" attribute="1" defaultMemberUniqueName="[Range 1].[Net Amount].[All]" allUniqueName="[Range 1].[Net Amount].[All]" dimensionUniqueName="[Range 1]" displayFolder="" count="0" memberValueDatatype="2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ales Percentage]" caption="Sales Percentage" attribute="1" defaultMemberUniqueName="[Range 1].[Sales Percentage].[All]" allUniqueName="[Range 1].[Sales Percentage].[All]" dimensionUniqueName="[Range 1]" displayFolder="" count="0" memberValueDatatype="5" unbalanced="0"/>
    <cacheHierarchy uniqueName="[SMALL_TABLE].[Customer Name]" caption="Customer Name" attribute="1" defaultMemberUniqueName="[SMALL_TABLE].[Customer Name].[All]" allUniqueName="[SMALL_TABLE].[Customer Name].[All]" dimensionUniqueName="[SMALL_TABLE]" displayFolder="" count="0" memberValueDatatype="130" unbalanced="0"/>
    <cacheHierarchy uniqueName="[SMALL_TABLE].[Region]" caption="Region" attribute="1" defaultMemberUniqueName="[SMALL_TABLE].[Region].[All]" allUniqueName="[SMALL_TABLE].[Region].[All]" dimensionUniqueName="[SMALL_TABLE]" displayFolder="" count="0" memberValueDatatype="130" unbalanced="0"/>
    <cacheHierarchy uniqueName="[SMALL_TABLE].[Net Amount]" caption="Net Amount" attribute="1" defaultMemberUniqueName="[SMALL_TABLE].[Net Amount].[All]" allUniqueName="[SMALL_TABLE].[Net Amount].[All]" dimensionUniqueName="[SMALL_TABLE]" displayFolder="" count="0" memberValueDatatype="20" unbalanced="0"/>
    <cacheHierarchy uniqueName="[SMALL_TABLE].[Customer Type]" caption="Customer Type" attribute="1" defaultMemberUniqueName="[SMALL_TABLE].[Customer Type].[All]" allUniqueName="[SMALL_TABLE].[Customer Type].[All]" dimensionUniqueName="[SMALL_TABLE]" displayFolder="" count="2" memberValueDatatype="130" unbalanced="0"/>
    <cacheHierarchy uniqueName="[SMALL_TABLE].[Sales Percentage]" caption="Sales Percentage" attribute="1" defaultMemberUniqueName="[SMALL_TABLE].[Sales Percentage].[All]" allUniqueName="[SMALL_TABLE].[Sales Percentage].[All]" dimensionUniqueName="[SMALL_TABLE]"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الرئيسي].[Customer Name]" caption="Customer Name" attribute="1" defaultMemberUniqueName="[الرئيسي].[Customer Name].[All]" allUniqueName="[الرئيسي].[Customer Name].[All]" dimensionUniqueName="[الرئيسي]" displayFolder="" count="0" memberValueDatatype="130" unbalanced="0"/>
    <cacheHierarchy uniqueName="[الرئيسي].[Amount]" caption="Amount" attribute="1" defaultMemberUniqueName="[الرئيسي].[Amount].[All]" allUniqueName="[الرئيسي].[Amount].[All]" dimensionUniqueName="[الرئيسي]" displayFolder="" count="0" memberValueDatatype="20" unbalanced="0"/>
    <cacheHierarchy uniqueName="[الرئيسي].[Transaction Type]" caption="Transaction Type" attribute="1" defaultMemberUniqueName="[الرئيسي].[Transaction Type].[All]" allUniqueName="[الرئيسي].[Transaction Type].[All]" dimensionUniqueName="[الرئيسي]" displayFolder="" count="0" memberValueDatatype="130" unbalanced="0"/>
    <cacheHierarchy uniqueName="[الرئيسي].[Amount 2]" caption="Amount 2" attribute="1" defaultMemberUniqueName="[الرئيسي].[Amount 2].[All]" allUniqueName="[الرئيسي].[Amount 2].[All]" dimensionUniqueName="[الرئيسي]" displayFolder="" count="0" memberValueDatatype="20" unbalanced="0"/>
    <cacheHierarchy uniqueName="[الرئيسي].[Tax]" caption="Tax" attribute="1" defaultMemberUniqueName="[الرئيسي].[Tax].[All]" allUniqueName="[الرئيسي].[Tax].[All]" dimensionUniqueName="[الرئيسي]" displayFolder="" count="0" memberValueDatatype="20" unbalanced="0"/>
    <cacheHierarchy uniqueName="[الرئيسي].[Net Amount]" caption="Net Amount" attribute="1" defaultMemberUniqueName="[الرئيسي].[Net Amount].[All]" allUniqueName="[الرئيسي].[Net Amount].[All]" dimensionUniqueName="[الرئيسي]" displayFolder="" count="0" memberValueDatatype="20" unbalanced="0"/>
    <cacheHierarchy uniqueName="[الرئيسي].[Region]" caption="Region" attribute="1" defaultMemberUniqueName="[الرئيسي].[Region].[All]" allUniqueName="[الرئيسي].[Region].[All]" dimensionUniqueName="[الرئيسي]" displayFolder="" count="2" memberValueDatatype="130" unbalanced="0">
      <fieldsUsage count="2">
        <fieldUsage x="-1"/>
        <fieldUsage x="0"/>
      </fieldsUsage>
    </cacheHierarchy>
    <cacheHierarchy uniqueName="[الرئيسي].[Transaction Date]" caption="Transaction Date" attribute="1" time="1" defaultMemberUniqueName="[الرئيسي].[Transaction Date].[All]" allUniqueName="[الرئيسي].[Transaction Date].[All]" dimensionUniqueName="[الرئيسي]" displayFolder="" count="0" memberValueDatatype="7" unbalanced="0"/>
    <cacheHierarchy uniqueName="[الرئيسي].[Sales Rep]" caption="Sales Rep" attribute="1" defaultMemberUniqueName="[الرئيسي].[Sales Rep].[All]" allUniqueName="[الرئيسي].[Sales Rep].[All]" dimensionUniqueName="[الرئيسي]" displayFolder="" count="0" memberValueDatatype="130" unbalanced="0"/>
    <cacheHierarchy uniqueName="[الرئيسي].[Collection Date]" caption="Collection Date" attribute="1" time="1" defaultMemberUniqueName="[الرئيسي].[Collection Date].[All]" allUniqueName="[الرئيسي].[Collection Date].[All]" dimensionUniqueName="[الرئيسي]" displayFolder="" count="0" memberValueDatatype="7" unbalanced="0"/>
    <cacheHierarchy uniqueName="[الرئيسي].[Remaining Days]" caption="Remaining Days" attribute="1" defaultMemberUniqueName="[الرئيسي].[Remaining Days].[All]" allUniqueName="[الرئيسي].[Remaining Days].[All]" dimensionUniqueName="[الرئيسي]" displayFolder="" count="0" memberValueDatatype="20" unbalanced="0"/>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الرئيسي]" caption="__XL_Count الرئيسي" measure="1" displayFolder="" measureGroup="الرئيسي" count="0" hidden="1"/>
    <cacheHierarchy uniqueName="[Measures].[__XL_Count SMALL_TABLE]" caption="__XL_Count SMALL_TABLE" measure="1" displayFolder="" measureGroup="SMALL_TABLE" count="0" hidden="1"/>
    <cacheHierarchy uniqueName="[Measures].[__لم يتم تعريف أية قياسات]" caption="__لم يتم تعريف أية قياسات" measure="1" displayFolder="" count="0" hidden="1"/>
    <cacheHierarchy uniqueName="[Measures].[Sum of Amount 2]" caption="Sum of Amount 2" measure="1" displayFolder="" measureGroup="الرئيسي" count="0" hidden="1">
      <extLst>
        <ext xmlns:x15="http://schemas.microsoft.com/office/spreadsheetml/2010/11/main" uri="{B97F6D7D-B522-45F9-BDA1-12C45D357490}">
          <x15:cacheHierarchy aggregatedColumn="13"/>
        </ext>
      </extLst>
    </cacheHierarchy>
    <cacheHierarchy uniqueName="[Measures].[Sum of Net Amount 2]" caption="Sum of Net Amount 2" measure="1" displayFolder="" measureGroup="الرئيسي"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mount 2 2]" caption="Sum of Amount 2 2" measure="1" displayFolder="" measureGroup="الرئيسي" count="0" hidden="1">
      <extLst>
        <ext xmlns:x15="http://schemas.microsoft.com/office/spreadsheetml/2010/11/main" uri="{B97F6D7D-B522-45F9-BDA1-12C45D357490}">
          <x15:cacheHierarchy aggregatedColumn="15"/>
        </ext>
      </extLst>
    </cacheHierarchy>
    <cacheHierarchy uniqueName="[Measures].[Sum of Net Amount 3]" caption="Sum of Net Amount 3" measure="1" displayFolder="" measureGroup="SMALL_TABL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Range 1" uniqueName="[Range 1]" caption="Range 1"/>
    <dimension name="SMALL_TABLE" uniqueName="[SMALL_TABLE]" caption="SMALL_TABLE"/>
    <dimension name="Table3" uniqueName="[Table3]" caption="Table3"/>
    <dimension name="Table4" uniqueName="[Table4]" caption="Table4"/>
    <dimension name="الرئيسي" uniqueName="[الرئيسي]" caption="الرئيسي"/>
  </dimensions>
  <measureGroups count="5">
    <measureGroup name="Range 1" caption="Range 1"/>
    <measureGroup name="SMALL_TABLE" caption="SMALL_TABLE"/>
    <measureGroup name="Table3" caption="Table3"/>
    <measureGroup name="Table4" caption="Table4"/>
    <measureGroup name="الرئيسي" caption="الرئيسي"/>
  </measureGroups>
  <maps count="6">
    <map measureGroup="0" dimension="1"/>
    <map measureGroup="1" dimension="2"/>
    <map measureGroup="2" dimension="3"/>
    <map measureGroup="3" dimension="4"/>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ah" refreshedDate="46053.712841203705" backgroundQuery="1" createdVersion="8" refreshedVersion="8" minRefreshableVersion="3" recordCount="0" supportSubquery="1" supportAdvancedDrill="1" xr:uid="{F7566A22-81B5-4A6E-A3E2-66C1C102E102}">
  <cacheSource type="external" connectionId="1"/>
  <cacheFields count="3">
    <cacheField name="[الرئيسي].[Sales Rep].[Sales Rep]" caption="Sales Rep" numFmtId="0" hierarchy="20" level="1">
      <sharedItems count="5">
        <s v="Mamd"/>
        <s v="Mohamed"/>
        <s v="Mostafa"/>
        <s v="Nour"/>
        <s v="Sayed"/>
      </sharedItems>
    </cacheField>
    <cacheField name="[Measures].[Sum of Net Amount 2]" caption="Sum of Net Amount 2" numFmtId="0" hierarchy="30" level="32767"/>
    <cacheField name="[الرئيسي].[Region].[Region]" caption="Region" numFmtId="0" hierarchy="18" level="1">
      <sharedItems containsSemiMixedTypes="0" containsNonDate="0" containsString="0"/>
    </cacheField>
  </cacheFields>
  <cacheHierarchies count="33">
    <cacheHierarchy uniqueName="[Range 1].[Customer Name]" caption="Customer Name" attribute="1" defaultMemberUniqueName="[Range 1].[Customer Name].[All]" allUniqueName="[Range 1].[Customer Nam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Net Amount]" caption="Net Amount" attribute="1" defaultMemberUniqueName="[Range 1].[Net Amount].[All]" allUniqueName="[Range 1].[Net Amount].[All]" dimensionUniqueName="[Range 1]" displayFolder="" count="0" memberValueDatatype="2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ales Percentage]" caption="Sales Percentage" attribute="1" defaultMemberUniqueName="[Range 1].[Sales Percentage].[All]" allUniqueName="[Range 1].[Sales Percentage].[All]" dimensionUniqueName="[Range 1]" displayFolder="" count="0" memberValueDatatype="5" unbalanced="0"/>
    <cacheHierarchy uniqueName="[SMALL_TABLE].[Customer Name]" caption="Customer Name" attribute="1" defaultMemberUniqueName="[SMALL_TABLE].[Customer Name].[All]" allUniqueName="[SMALL_TABLE].[Customer Name].[All]" dimensionUniqueName="[SMALL_TABLE]" displayFolder="" count="0" memberValueDatatype="130" unbalanced="0"/>
    <cacheHierarchy uniqueName="[SMALL_TABLE].[Region]" caption="Region" attribute="1" defaultMemberUniqueName="[SMALL_TABLE].[Region].[All]" allUniqueName="[SMALL_TABLE].[Region].[All]" dimensionUniqueName="[SMALL_TABLE]" displayFolder="" count="0" memberValueDatatype="130" unbalanced="0"/>
    <cacheHierarchy uniqueName="[SMALL_TABLE].[Net Amount]" caption="Net Amount" attribute="1" defaultMemberUniqueName="[SMALL_TABLE].[Net Amount].[All]" allUniqueName="[SMALL_TABLE].[Net Amount].[All]" dimensionUniqueName="[SMALL_TABLE]" displayFolder="" count="0" memberValueDatatype="20" unbalanced="0"/>
    <cacheHierarchy uniqueName="[SMALL_TABLE].[Customer Type]" caption="Customer Type" attribute="1" defaultMemberUniqueName="[SMALL_TABLE].[Customer Type].[All]" allUniqueName="[SMALL_TABLE].[Customer Type].[All]" dimensionUniqueName="[SMALL_TABLE]" displayFolder="" count="2" memberValueDatatype="130" unbalanced="0"/>
    <cacheHierarchy uniqueName="[SMALL_TABLE].[Sales Percentage]" caption="Sales Percentage" attribute="1" defaultMemberUniqueName="[SMALL_TABLE].[Sales Percentage].[All]" allUniqueName="[SMALL_TABLE].[Sales Percentage].[All]" dimensionUniqueName="[SMALL_TABLE]"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الرئيسي].[Customer Name]" caption="Customer Name" attribute="1" defaultMemberUniqueName="[الرئيسي].[Customer Name].[All]" allUniqueName="[الرئيسي].[Customer Name].[All]" dimensionUniqueName="[الرئيسي]" displayFolder="" count="0" memberValueDatatype="130" unbalanced="0"/>
    <cacheHierarchy uniqueName="[الرئيسي].[Amount]" caption="Amount" attribute="1" defaultMemberUniqueName="[الرئيسي].[Amount].[All]" allUniqueName="[الرئيسي].[Amount].[All]" dimensionUniqueName="[الرئيسي]" displayFolder="" count="0" memberValueDatatype="20" unbalanced="0"/>
    <cacheHierarchy uniqueName="[الرئيسي].[Transaction Type]" caption="Transaction Type" attribute="1" defaultMemberUniqueName="[الرئيسي].[Transaction Type].[All]" allUniqueName="[الرئيسي].[Transaction Type].[All]" dimensionUniqueName="[الرئيسي]" displayFolder="" count="0" memberValueDatatype="130" unbalanced="0"/>
    <cacheHierarchy uniqueName="[الرئيسي].[Amount 2]" caption="Amount 2" attribute="1" defaultMemberUniqueName="[الرئيسي].[Amount 2].[All]" allUniqueName="[الرئيسي].[Amount 2].[All]" dimensionUniqueName="[الرئيسي]" displayFolder="" count="0" memberValueDatatype="20" unbalanced="0"/>
    <cacheHierarchy uniqueName="[الرئيسي].[Tax]" caption="Tax" attribute="1" defaultMemberUniqueName="[الرئيسي].[Tax].[All]" allUniqueName="[الرئيسي].[Tax].[All]" dimensionUniqueName="[الرئيسي]" displayFolder="" count="0" memberValueDatatype="20" unbalanced="0"/>
    <cacheHierarchy uniqueName="[الرئيسي].[Net Amount]" caption="Net Amount" attribute="1" defaultMemberUniqueName="[الرئيسي].[Net Amount].[All]" allUniqueName="[الرئيسي].[Net Amount].[All]" dimensionUniqueName="[الرئيسي]" displayFolder="" count="0" memberValueDatatype="20" unbalanced="0"/>
    <cacheHierarchy uniqueName="[الرئيسي].[Region]" caption="Region" attribute="1" defaultMemberUniqueName="[الرئيسي].[Region].[All]" allUniqueName="[الرئيسي].[Region].[All]" dimensionUniqueName="[الرئيسي]" displayFolder="" count="2" memberValueDatatype="130" unbalanced="0">
      <fieldsUsage count="2">
        <fieldUsage x="-1"/>
        <fieldUsage x="2"/>
      </fieldsUsage>
    </cacheHierarchy>
    <cacheHierarchy uniqueName="[الرئيسي].[Transaction Date]" caption="Transaction Date" attribute="1" time="1" defaultMemberUniqueName="[الرئيسي].[Transaction Date].[All]" allUniqueName="[الرئيسي].[Transaction Date].[All]" dimensionUniqueName="[الرئيسي]" displayFolder="" count="0" memberValueDatatype="7" unbalanced="0"/>
    <cacheHierarchy uniqueName="[الرئيسي].[Sales Rep]" caption="Sales Rep" attribute="1" defaultMemberUniqueName="[الرئيسي].[Sales Rep].[All]" allUniqueName="[الرئيسي].[Sales Rep].[All]" dimensionUniqueName="[الرئيسي]" displayFolder="" count="2" memberValueDatatype="130" unbalanced="0">
      <fieldsUsage count="2">
        <fieldUsage x="-1"/>
        <fieldUsage x="0"/>
      </fieldsUsage>
    </cacheHierarchy>
    <cacheHierarchy uniqueName="[الرئيسي].[Collection Date]" caption="Collection Date" attribute="1" time="1" defaultMemberUniqueName="[الرئيسي].[Collection Date].[All]" allUniqueName="[الرئيسي].[Collection Date].[All]" dimensionUniqueName="[الرئيسي]" displayFolder="" count="0" memberValueDatatype="7" unbalanced="0"/>
    <cacheHierarchy uniqueName="[الرئيسي].[Remaining Days]" caption="Remaining Days" attribute="1" defaultMemberUniqueName="[الرئيسي].[Remaining Days].[All]" allUniqueName="[الرئيسي].[Remaining Days].[All]" dimensionUniqueName="[الرئيسي]" displayFolder="" count="0" memberValueDatatype="20" unbalanced="0"/>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الرئيسي]" caption="__XL_Count الرئيسي" measure="1" displayFolder="" measureGroup="الرئيسي" count="0" hidden="1"/>
    <cacheHierarchy uniqueName="[Measures].[__XL_Count SMALL_TABLE]" caption="__XL_Count SMALL_TABLE" measure="1" displayFolder="" measureGroup="SMALL_TABLE" count="0" hidden="1"/>
    <cacheHierarchy uniqueName="[Measures].[__لم يتم تعريف أية قياسات]" caption="__لم يتم تعريف أية قياسات" measure="1" displayFolder="" count="0" hidden="1"/>
    <cacheHierarchy uniqueName="[Measures].[Sum of Amount 2]" caption="Sum of Amount 2" measure="1" displayFolder="" measureGroup="الرئيسي" count="0" hidden="1">
      <extLst>
        <ext xmlns:x15="http://schemas.microsoft.com/office/spreadsheetml/2010/11/main" uri="{B97F6D7D-B522-45F9-BDA1-12C45D357490}">
          <x15:cacheHierarchy aggregatedColumn="13"/>
        </ext>
      </extLst>
    </cacheHierarchy>
    <cacheHierarchy uniqueName="[Measures].[Sum of Net Amount 2]" caption="Sum of Net Amount 2" measure="1" displayFolder="" measureGroup="الرئيسي"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mount 2 2]" caption="Sum of Amount 2 2" measure="1" displayFolder="" measureGroup="الرئيسي" count="0" hidden="1">
      <extLst>
        <ext xmlns:x15="http://schemas.microsoft.com/office/spreadsheetml/2010/11/main" uri="{B97F6D7D-B522-45F9-BDA1-12C45D357490}">
          <x15:cacheHierarchy aggregatedColumn="15"/>
        </ext>
      </extLst>
    </cacheHierarchy>
    <cacheHierarchy uniqueName="[Measures].[Sum of Net Amount 3]" caption="Sum of Net Amount 3" measure="1" displayFolder="" measureGroup="SMALL_TABL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Range 1" uniqueName="[Range 1]" caption="Range 1"/>
    <dimension name="SMALL_TABLE" uniqueName="[SMALL_TABLE]" caption="SMALL_TABLE"/>
    <dimension name="Table3" uniqueName="[Table3]" caption="Table3"/>
    <dimension name="Table4" uniqueName="[Table4]" caption="Table4"/>
    <dimension name="الرئيسي" uniqueName="[الرئيسي]" caption="الرئيسي"/>
  </dimensions>
  <measureGroups count="5">
    <measureGroup name="Range 1" caption="Range 1"/>
    <measureGroup name="SMALL_TABLE" caption="SMALL_TABLE"/>
    <measureGroup name="Table3" caption="Table3"/>
    <measureGroup name="Table4" caption="Table4"/>
    <measureGroup name="الرئيسي" caption="الرئيسي"/>
  </measureGroups>
  <maps count="6">
    <map measureGroup="0" dimension="1"/>
    <map measureGroup="1" dimension="2"/>
    <map measureGroup="2" dimension="3"/>
    <map measureGroup="3" dimension="4"/>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ah" refreshedDate="46053.712841898145" backgroundQuery="1" createdVersion="8" refreshedVersion="8" minRefreshableVersion="3" recordCount="0" supportSubquery="1" supportAdvancedDrill="1" xr:uid="{849824C3-7996-4B03-AF7C-ADCFFFEFFB20}">
  <cacheSource type="external" connectionId="1"/>
  <cacheFields count="3">
    <cacheField name="[الرئيسي].[Transaction Date].[Transaction Date]" caption="Transaction Date" numFmtId="0" hierarchy="19" level="1">
      <sharedItems containsSemiMixedTypes="0" containsNonDate="0" containsDate="1" containsString="0" minDate="2021-01-14T00:00:00" maxDate="2021-02-01T00:00:00" count="18">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sharedItems>
    </cacheField>
    <cacheField name="[Measures].[Sum of Amount 2 2]" caption="Sum of Amount 2 2" numFmtId="0" hierarchy="31" level="32767"/>
    <cacheField name="[الرئيسي].[Region].[Region]" caption="Region" numFmtId="0" hierarchy="18" level="1">
      <sharedItems containsSemiMixedTypes="0" containsNonDate="0" containsString="0"/>
    </cacheField>
  </cacheFields>
  <cacheHierarchies count="33">
    <cacheHierarchy uniqueName="[Range 1].[Customer Name]" caption="Customer Name" attribute="1" defaultMemberUniqueName="[Range 1].[Customer Name].[All]" allUniqueName="[Range 1].[Customer Nam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Net Amount]" caption="Net Amount" attribute="1" defaultMemberUniqueName="[Range 1].[Net Amount].[All]" allUniqueName="[Range 1].[Net Amount].[All]" dimensionUniqueName="[Range 1]" displayFolder="" count="0" memberValueDatatype="20" unbalanced="0"/>
    <cacheHierarchy uniqueName="[Range 1].[Customer Type]" caption="Customer Type" attribute="1" defaultMemberUniqueName="[Range 1].[Customer Type].[All]" allUniqueName="[Range 1].[Customer Type].[All]" dimensionUniqueName="[Range 1]" displayFolder="" count="0" memberValueDatatype="130" unbalanced="0"/>
    <cacheHierarchy uniqueName="[Range 1].[Sales Percentage]" caption="Sales Percentage" attribute="1" defaultMemberUniqueName="[Range 1].[Sales Percentage].[All]" allUniqueName="[Range 1].[Sales Percentage].[All]" dimensionUniqueName="[Range 1]" displayFolder="" count="0" memberValueDatatype="5" unbalanced="0"/>
    <cacheHierarchy uniqueName="[SMALL_TABLE].[Customer Name]" caption="Customer Name" attribute="1" defaultMemberUniqueName="[SMALL_TABLE].[Customer Name].[All]" allUniqueName="[SMALL_TABLE].[Customer Name].[All]" dimensionUniqueName="[SMALL_TABLE]" displayFolder="" count="0" memberValueDatatype="130" unbalanced="0"/>
    <cacheHierarchy uniqueName="[SMALL_TABLE].[Region]" caption="Region" attribute="1" defaultMemberUniqueName="[SMALL_TABLE].[Region].[All]" allUniqueName="[SMALL_TABLE].[Region].[All]" dimensionUniqueName="[SMALL_TABLE]" displayFolder="" count="0" memberValueDatatype="130" unbalanced="0"/>
    <cacheHierarchy uniqueName="[SMALL_TABLE].[Net Amount]" caption="Net Amount" attribute="1" defaultMemberUniqueName="[SMALL_TABLE].[Net Amount].[All]" allUniqueName="[SMALL_TABLE].[Net Amount].[All]" dimensionUniqueName="[SMALL_TABLE]" displayFolder="" count="0" memberValueDatatype="20" unbalanced="0"/>
    <cacheHierarchy uniqueName="[SMALL_TABLE].[Customer Type]" caption="Customer Type" attribute="1" defaultMemberUniqueName="[SMALL_TABLE].[Customer Type].[All]" allUniqueName="[SMALL_TABLE].[Customer Type].[All]" dimensionUniqueName="[SMALL_TABLE]" displayFolder="" count="2" memberValueDatatype="130" unbalanced="0"/>
    <cacheHierarchy uniqueName="[SMALL_TABLE].[Sales Percentage]" caption="Sales Percentage" attribute="1" defaultMemberUniqueName="[SMALL_TABLE].[Sales Percentage].[All]" allUniqueName="[SMALL_TABLE].[Sales Percentage].[All]" dimensionUniqueName="[SMALL_TABLE]"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الرئيسي].[Customer Name]" caption="Customer Name" attribute="1" defaultMemberUniqueName="[الرئيسي].[Customer Name].[All]" allUniqueName="[الرئيسي].[Customer Name].[All]" dimensionUniqueName="[الرئيسي]" displayFolder="" count="0" memberValueDatatype="130" unbalanced="0"/>
    <cacheHierarchy uniqueName="[الرئيسي].[Amount]" caption="Amount" attribute="1" defaultMemberUniqueName="[الرئيسي].[Amount].[All]" allUniqueName="[الرئيسي].[Amount].[All]" dimensionUniqueName="[الرئيسي]" displayFolder="" count="0" memberValueDatatype="20" unbalanced="0"/>
    <cacheHierarchy uniqueName="[الرئيسي].[Transaction Type]" caption="Transaction Type" attribute="1" defaultMemberUniqueName="[الرئيسي].[Transaction Type].[All]" allUniqueName="[الرئيسي].[Transaction Type].[All]" dimensionUniqueName="[الرئيسي]" displayFolder="" count="0" memberValueDatatype="130" unbalanced="0"/>
    <cacheHierarchy uniqueName="[الرئيسي].[Amount 2]" caption="Amount 2" attribute="1" defaultMemberUniqueName="[الرئيسي].[Amount 2].[All]" allUniqueName="[الرئيسي].[Amount 2].[All]" dimensionUniqueName="[الرئيسي]" displayFolder="" count="0" memberValueDatatype="20" unbalanced="0"/>
    <cacheHierarchy uniqueName="[الرئيسي].[Tax]" caption="Tax" attribute="1" defaultMemberUniqueName="[الرئيسي].[Tax].[All]" allUniqueName="[الرئيسي].[Tax].[All]" dimensionUniqueName="[الرئيسي]" displayFolder="" count="0" memberValueDatatype="20" unbalanced="0"/>
    <cacheHierarchy uniqueName="[الرئيسي].[Net Amount]" caption="Net Amount" attribute="1" defaultMemberUniqueName="[الرئيسي].[Net Amount].[All]" allUniqueName="[الرئيسي].[Net Amount].[All]" dimensionUniqueName="[الرئيسي]" displayFolder="" count="0" memberValueDatatype="20" unbalanced="0"/>
    <cacheHierarchy uniqueName="[الرئيسي].[Region]" caption="Region" attribute="1" defaultMemberUniqueName="[الرئيسي].[Region].[All]" allUniqueName="[الرئيسي].[Region].[All]" dimensionUniqueName="[الرئيسي]" displayFolder="" count="2" memberValueDatatype="130" unbalanced="0">
      <fieldsUsage count="2">
        <fieldUsage x="-1"/>
        <fieldUsage x="2"/>
      </fieldsUsage>
    </cacheHierarchy>
    <cacheHierarchy uniqueName="[الرئيسي].[Transaction Date]" caption="Transaction Date" attribute="1" time="1" defaultMemberUniqueName="[الرئيسي].[Transaction Date].[All]" allUniqueName="[الرئيسي].[Transaction Date].[All]" dimensionUniqueName="[الرئيسي]" displayFolder="" count="2" memberValueDatatype="7" unbalanced="0">
      <fieldsUsage count="2">
        <fieldUsage x="-1"/>
        <fieldUsage x="0"/>
      </fieldsUsage>
    </cacheHierarchy>
    <cacheHierarchy uniqueName="[الرئيسي].[Sales Rep]" caption="Sales Rep" attribute="1" defaultMemberUniqueName="[الرئيسي].[Sales Rep].[All]" allUniqueName="[الرئيسي].[Sales Rep].[All]" dimensionUniqueName="[الرئيسي]" displayFolder="" count="0" memberValueDatatype="130" unbalanced="0"/>
    <cacheHierarchy uniqueName="[الرئيسي].[Collection Date]" caption="Collection Date" attribute="1" time="1" defaultMemberUniqueName="[الرئيسي].[Collection Date].[All]" allUniqueName="[الرئيسي].[Collection Date].[All]" dimensionUniqueName="[الرئيسي]" displayFolder="" count="0" memberValueDatatype="7" unbalanced="0"/>
    <cacheHierarchy uniqueName="[الرئيسي].[Remaining Days]" caption="Remaining Days" attribute="1" defaultMemberUniqueName="[الرئيسي].[Remaining Days].[All]" allUniqueName="[الرئيسي].[Remaining Days].[All]" dimensionUniqueName="[الرئيسي]" displayFolder="" count="0" memberValueDatatype="20" unbalanced="0"/>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الرئيسي]" caption="__XL_Count الرئيسي" measure="1" displayFolder="" measureGroup="الرئيسي" count="0" hidden="1"/>
    <cacheHierarchy uniqueName="[Measures].[__XL_Count SMALL_TABLE]" caption="__XL_Count SMALL_TABLE" measure="1" displayFolder="" measureGroup="SMALL_TABLE" count="0" hidden="1"/>
    <cacheHierarchy uniqueName="[Measures].[__لم يتم تعريف أية قياسات]" caption="__لم يتم تعريف أية قياسات" measure="1" displayFolder="" count="0" hidden="1"/>
    <cacheHierarchy uniqueName="[Measures].[Sum of Amount 2]" caption="Sum of Amount 2" measure="1" displayFolder="" measureGroup="الرئيسي" count="0" hidden="1">
      <extLst>
        <ext xmlns:x15="http://schemas.microsoft.com/office/spreadsheetml/2010/11/main" uri="{B97F6D7D-B522-45F9-BDA1-12C45D357490}">
          <x15:cacheHierarchy aggregatedColumn="13"/>
        </ext>
      </extLst>
    </cacheHierarchy>
    <cacheHierarchy uniqueName="[Measures].[Sum of Net Amount 2]" caption="Sum of Net Amount 2" measure="1" displayFolder="" measureGroup="الرئيسي" count="0" hidden="1">
      <extLst>
        <ext xmlns:x15="http://schemas.microsoft.com/office/spreadsheetml/2010/11/main" uri="{B97F6D7D-B522-45F9-BDA1-12C45D357490}">
          <x15:cacheHierarchy aggregatedColumn="17"/>
        </ext>
      </extLst>
    </cacheHierarchy>
    <cacheHierarchy uniqueName="[Measures].[Sum of Amount 2 2]" caption="Sum of Amount 2 2" measure="1" displayFolder="" measureGroup="الرئيسي"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Net Amount 3]" caption="Sum of Net Amount 3" measure="1" displayFolder="" measureGroup="SMALL_TABL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Range 1" uniqueName="[Range 1]" caption="Range 1"/>
    <dimension name="SMALL_TABLE" uniqueName="[SMALL_TABLE]" caption="SMALL_TABLE"/>
    <dimension name="Table3" uniqueName="[Table3]" caption="Table3"/>
    <dimension name="Table4" uniqueName="[Table4]" caption="Table4"/>
    <dimension name="الرئيسي" uniqueName="[الرئيسي]" caption="الرئيسي"/>
  </dimensions>
  <measureGroups count="5">
    <measureGroup name="Range 1" caption="Range 1"/>
    <measureGroup name="SMALL_TABLE" caption="SMALL_TABLE"/>
    <measureGroup name="Table3" caption="Table3"/>
    <measureGroup name="Table4" caption="Table4"/>
    <measureGroup name="الرئيسي" caption="الرئيسي"/>
  </measureGroups>
  <maps count="6">
    <map measureGroup="0" dimension="1"/>
    <map measureGroup="1" dimension="2"/>
    <map measureGroup="2" dimension="3"/>
    <map measureGroup="3" dimension="4"/>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ah" refreshedDate="46053.695089120367" backgroundQuery="1" createdVersion="3" refreshedVersion="8" minRefreshableVersion="3" recordCount="0" supportSubquery="1" supportAdvancedDrill="1" xr:uid="{7A79937B-9C24-4E86-8A21-4E11B25B4629}">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Measures]" caption="Measures" attribute="1" keyAttribute="1" defaultMemberUniqueName="[Measures].[__لم يتم تعريف أية قياسات]" dimensionUniqueName="[Measures]" displayFolder="" measures="1" count="1" memberValueDatatype="130" unbalanced="0"/>
    <cacheHierarchy uniqueName="[Range 1].[Customer Name]" caption="Customer Name" attribute="1" defaultMemberUniqueName="[Range 1].[Customer Name].[All]" allUniqueName="[Range 1].[Customer Name].[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cacheHierarchy uniqueName="[Range 1].[Net Amount]" caption="Net Amount" attribute="1" defaultMemberUniqueName="[Range 1].[Net Amount].[All]" allUniqueName="[Range 1].[Net Amount].[All]" dimensionUniqueName="[Range 1]" displayFolder="" count="2" memberValueDatatype="20" unbalanced="0"/>
    <cacheHierarchy uniqueName="[Range 1].[Customer Type]" caption="Customer Type" attribute="1" defaultMemberUniqueName="[Range 1].[Customer Type].[All]" allUniqueName="[Range 1].[Customer Type].[All]" dimensionUniqueName="[Range 1]" displayFolder="" count="2" memberValueDatatype="130" unbalanced="0"/>
    <cacheHierarchy uniqueName="[Range 1].[Sales Percentage]" caption="Sales Percentage" attribute="1" defaultMemberUniqueName="[Range 1].[Sales Percentage].[All]" allUniqueName="[Range 1].[Sales Percentage].[All]" dimensionUniqueName="[Range 1]" displayFolder="" count="2" memberValueDatatype="5" unbalanced="0"/>
    <cacheHierarchy uniqueName="[SMALL_TABLE].[Customer Name]" caption="Customer Name" attribute="1" defaultMemberUniqueName="[SMALL_TABLE].[Customer Name].[All]" allUniqueName="[SMALL_TABLE].[Customer Name].[All]" dimensionUniqueName="[SMALL_TABLE]" displayFolder="" count="2" memberValueDatatype="130" unbalanced="0"/>
    <cacheHierarchy uniqueName="[SMALL_TABLE].[Region]" caption="Region" attribute="1" defaultMemberUniqueName="[SMALL_TABLE].[Region].[All]" allUniqueName="[SMALL_TABLE].[Region].[All]" dimensionUniqueName="[SMALL_TABLE]" displayFolder="" count="2" memberValueDatatype="130" unbalanced="0"/>
    <cacheHierarchy uniqueName="[SMALL_TABLE].[Net Amount]" caption="Net Amount" attribute="1" defaultMemberUniqueName="[SMALL_TABLE].[Net Amount].[All]" allUniqueName="[SMALL_TABLE].[Net Amount].[All]" dimensionUniqueName="[SMALL_TABLE]" displayFolder="" count="2" memberValueDatatype="20" unbalanced="0"/>
    <cacheHierarchy uniqueName="[SMALL_TABLE].[Customer Type]" caption="Customer Type" attribute="1" defaultMemberUniqueName="[SMALL_TABLE].[Customer Type].[All]" allUniqueName="[SMALL_TABLE].[Customer Type].[All]" dimensionUniqueName="[SMALL_TABLE]" displayFolder="" count="2" memberValueDatatype="130" unbalanced="0"/>
    <cacheHierarchy uniqueName="[SMALL_TABLE].[Sales Percentage]" caption="Sales Percentage" attribute="1" defaultMemberUniqueName="[SMALL_TABLE].[Sales Percentage].[All]" allUniqueName="[SMALL_TABLE].[Sales Percentage].[All]" dimensionUniqueName="[SMALL_TABLE]" displayFolder="" count="2" memberValueDatatype="5" unbalanced="0"/>
    <cacheHierarchy uniqueName="[Table3].[Column1]" caption="Column1" attribute="1" defaultMemberUniqueName="[Table3].[Column1].[All]" allUniqueName="[Table3].[Column1].[All]" dimensionUniqueName="[Table3]" displayFolder="" count="2" memberValueDatatype="130" unbalanced="0"/>
    <cacheHierarchy uniqueName="[Table4].[Column1]" caption="Column1" attribute="1" defaultMemberUniqueName="[Table4].[Column1].[All]" allUniqueName="[Table4].[Column1].[All]" dimensionUniqueName="[Table4]" displayFolder="" count="2" memberValueDatatype="130" unbalanced="0"/>
    <cacheHierarchy uniqueName="[الرئيسي].[Customer Name]" caption="Customer Name" attribute="1" defaultMemberUniqueName="[الرئيسي].[Customer Name].[All]" allUniqueName="[الرئيسي].[Customer Name].[All]" dimensionUniqueName="[الرئيسي]" displayFolder="" count="2" memberValueDatatype="130" unbalanced="0"/>
    <cacheHierarchy uniqueName="[الرئيسي].[Amount]" caption="Amount" attribute="1" defaultMemberUniqueName="[الرئيسي].[Amount].[All]" allUniqueName="[الرئيسي].[Amount].[All]" dimensionUniqueName="[الرئيسي]" displayFolder="" count="2" memberValueDatatype="20" unbalanced="0"/>
    <cacheHierarchy uniqueName="[الرئيسي].[Transaction Type]" caption="Transaction Type" attribute="1" defaultMemberUniqueName="[الرئيسي].[Transaction Type].[All]" allUniqueName="[الرئيسي].[Transaction Type].[All]" dimensionUniqueName="[الرئيسي]" displayFolder="" count="2" memberValueDatatype="130" unbalanced="0"/>
    <cacheHierarchy uniqueName="[الرئيسي].[Amount 2]" caption="Amount 2" attribute="1" defaultMemberUniqueName="[الرئيسي].[Amount 2].[All]" allUniqueName="[الرئيسي].[Amount 2].[All]" dimensionUniqueName="[الرئيسي]" displayFolder="" count="2" memberValueDatatype="20" unbalanced="0"/>
    <cacheHierarchy uniqueName="[الرئيسي].[Tax]" caption="Tax" attribute="1" defaultMemberUniqueName="[الرئيسي].[Tax].[All]" allUniqueName="[الرئيسي].[Tax].[All]" dimensionUniqueName="[الرئيسي]" displayFolder="" count="2" memberValueDatatype="20" unbalanced="0"/>
    <cacheHierarchy uniqueName="[الرئيسي].[Net Amount]" caption="Net Amount" attribute="1" defaultMemberUniqueName="[الرئيسي].[Net Amount].[All]" allUniqueName="[الرئيسي].[Net Amount].[All]" dimensionUniqueName="[الرئيسي]" displayFolder="" count="2" memberValueDatatype="20" unbalanced="0"/>
    <cacheHierarchy uniqueName="[الرئيسي].[Region]" caption="Region" attribute="1" defaultMemberUniqueName="[الرئيسي].[Region].[All]" allUniqueName="[الرئيسي].[Region].[All]" dimensionUniqueName="[الرئيسي]" displayFolder="" count="2" memberValueDatatype="130" unbalanced="0"/>
    <cacheHierarchy uniqueName="[الرئيسي].[Transaction Date]" caption="Transaction Date" attribute="1" time="1" defaultMemberUniqueName="[الرئيسي].[Transaction Date].[All]" allUniqueName="[الرئيسي].[Transaction Date].[All]" dimensionUniqueName="[الرئيسي]" displayFolder="" count="2" memberValueDatatype="7" unbalanced="0"/>
    <cacheHierarchy uniqueName="[الرئيسي].[Sales Rep]" caption="Sales Rep" attribute="1" defaultMemberUniqueName="[الرئيسي].[Sales Rep].[All]" allUniqueName="[الرئيسي].[Sales Rep].[All]" dimensionUniqueName="[الرئيسي]" displayFolder="" count="2" memberValueDatatype="130" unbalanced="0"/>
    <cacheHierarchy uniqueName="[الرئيسي].[Collection Date]" caption="Collection Date" attribute="1" time="1" defaultMemberUniqueName="[الرئيسي].[Collection Date].[All]" allUniqueName="[الرئيسي].[Collection Date].[All]" dimensionUniqueName="[الرئيسي]" displayFolder="" count="2" memberValueDatatype="7" unbalanced="0"/>
    <cacheHierarchy uniqueName="[الرئيسي].[Remaining Days]" caption="Remaining Days" attribute="1" defaultMemberUniqueName="[الرئيسي].[Remaining Days].[All]" allUniqueName="[الرئيسي].[Remaining Days].[All]" dimensionUniqueName="[الرئيسي]" displayFolder="" count="2" memberValueDatatype="20" unbalanced="0"/>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الرئيسي]" caption="__XL_Count الرئيسي" measure="1" displayFolder="" measureGroup="الرئيسي" count="0" hidden="1"/>
    <cacheHierarchy uniqueName="[Measures].[__XL_Count SMALL_TABLE]" caption="__XL_Count SMALL_TABLE" measure="1" displayFolder="" measureGroup="SMALL_TABLE" count="0" hidden="1"/>
    <cacheHierarchy uniqueName="[Measures].[__لم يتم تعريف أية قياسات]" caption="__لم يتم تعريف أية قياسات" measure="1" displayFolder="" count="0" hidden="1"/>
    <cacheHierarchy uniqueName="[Measures].[Sum of Amount 2]" caption="Sum of Amount 2" measure="1" displayFolder="" measureGroup="الرئيسي" count="0" hidden="1">
      <extLst>
        <ext xmlns:x15="http://schemas.microsoft.com/office/spreadsheetml/2010/11/main" uri="{B97F6D7D-B522-45F9-BDA1-12C45D357490}">
          <x15:cacheHierarchy aggregatedColumn="14"/>
        </ext>
      </extLst>
    </cacheHierarchy>
    <cacheHierarchy uniqueName="[Measures].[Sum of Net Amount 2]" caption="Sum of Net Amount 2" measure="1" displayFolder="" measureGroup="الرئيسي" count="0" hidden="1">
      <extLst>
        <ext xmlns:x15="http://schemas.microsoft.com/office/spreadsheetml/2010/11/main" uri="{B97F6D7D-B522-45F9-BDA1-12C45D357490}">
          <x15:cacheHierarchy aggregatedColumn="18"/>
        </ext>
      </extLst>
    </cacheHierarchy>
    <cacheHierarchy uniqueName="[Measures].[Sum of Amount 2 2]" caption="Sum of Amount 2 2" measure="1" displayFolder="" measureGroup="الرئيسي" count="0" hidden="1">
      <extLst>
        <ext xmlns:x15="http://schemas.microsoft.com/office/spreadsheetml/2010/11/main" uri="{B97F6D7D-B522-45F9-BDA1-12C45D357490}">
          <x15:cacheHierarchy aggregatedColumn="16"/>
        </ext>
      </extLst>
    </cacheHierarchy>
    <cacheHierarchy uniqueName="[Measures].[Sum of Net Amount 3]" caption="Sum of Net Amount 3" measure="1" displayFolder="" measureGroup="SMALL_TABLE" count="0" hidden="1">
      <extLst>
        <ext xmlns:x15="http://schemas.microsoft.com/office/spreadsheetml/2010/11/main" uri="{B97F6D7D-B522-45F9-BDA1-12C45D357490}">
          <x15:cacheHierarchy aggregatedColumn="8"/>
        </ext>
      </extLst>
    </cacheHierarchy>
  </cacheHierarchies>
  <kpis count="0"/>
  <dimensions count="6">
    <dimension measure="1" name="Measures" uniqueName="[Measures]" caption="Measures"/>
    <dimension name="Range 1" uniqueName="[Range 1]" caption="Range 1"/>
    <dimension name="SMALL_TABLE" uniqueName="[SMALL_TABLE]" caption="SMALL_TABLE"/>
    <dimension name="Table3" uniqueName="[Table3]" caption="Table3"/>
    <dimension name="Table4" uniqueName="[Table4]" caption="Table4"/>
    <dimension name="الرئيسي" uniqueName="[الرئيسي]" caption="الرئيسي"/>
  </dimensions>
  <measureGroups count="5">
    <measureGroup name="Range 1" caption="Range 1"/>
    <measureGroup name="SMALL_TABLE" caption="SMALL_TABLE"/>
    <measureGroup name="Table3" caption="Table3"/>
    <measureGroup name="Table4" caption="Table4"/>
    <measureGroup name="الرئيسي" caption="الرئيسي"/>
  </measureGroups>
  <maps count="6">
    <map measureGroup="0" dimension="1"/>
    <map measureGroup="1" dimension="2"/>
    <map measureGroup="2" dimension="3"/>
    <map measureGroup="3" dimension="4"/>
    <map measureGroup="4" dimension="2"/>
    <map measureGroup="4" dimension="5"/>
  </maps>
  <extLst>
    <ext xmlns:x14="http://schemas.microsoft.com/office/spreadsheetml/2009/9/main" uri="{725AE2AE-9491-48be-B2B4-4EB974FC3084}">
      <x14:pivotCacheDefinition slicerData="1" pivotCacheId="9119433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D20F26-1203-4F5C-A06F-7BAF1727D7F7}" name="PivotTable1" cacheId="2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B14" firstHeaderRow="1" firstDataRow="1" firstDataCol="1"/>
  <pivotFields count="3">
    <pivotField name="Sales by Customer"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Net Amount" fld="1"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مشروع اكسل تدريبي يوتيوب.xlsx!الرئيسي">
        <x15:activeTabTopLevelEntity name="[الرئيسي]"/>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C42815-9DF7-48E1-80D5-2EB877C6C533}" name="PivotTable2" cacheId="2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3:B22" firstHeaderRow="1" firstDataRow="1" firstDataCol="1"/>
  <pivotFields count="3">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allDrilled="1"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ales Trend" fld="1"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مشروع اكسل تدريبي يوتيوب.xlsx!الرئيسي">
        <x15:activeTabTopLevelEntity name="[الرئيسي]"/>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350CA8-4F1C-414D-89FE-4C6887399D6F}" name="PivotTable3" cacheId="2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Net Amount" fld="1"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مشروع اكسل تدريبي يوتيوب.xlsx!الرئيسي">
        <x15:activeTabTopLevelEntity name="[الرئيسي]"/>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03F473-F860-481E-83FD-82A1ADF8DF57}" name="PivotTable4" cacheId="2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Net Amount" fld="1" baseField="0" baseItem="0"/>
  </dataFields>
  <chartFormats count="8">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0"/>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الرئيسي]"/>
        <x15:activeTabTopLevelEntity name="[SMALL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9095AE-A484-4493-BE8A-97863E050596}" name="PivotTable5" cacheId="2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Net Amount" fld="1"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مشروع اكسل تدريبي يوتيوب.xlsx!الرئيسي">
        <x15:activeTabTopLevelEntity name="[الرئيسي]"/>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89EEBA76-A881-444C-AC06-B3EBCF93546E}" sourceName="[SMALL_TABLE].[Customer Type]">
  <pivotTables>
    <pivotTable tabId="34" name="PivotTable1"/>
    <pivotTable tabId="37" name="PivotTable4"/>
    <pivotTable tabId="36" name="PivotTable3"/>
    <pivotTable tabId="38" name="PivotTable5"/>
    <pivotTable tabId="35" name="PivotTable2"/>
  </pivotTables>
  <data>
    <olap pivotCacheId="911943360">
      <levels count="2">
        <level uniqueName="[SMALL_TABLE].[Customer Type].[(All)]" sourceCaption="(All)" count="0"/>
        <level uniqueName="[SMALL_TABLE].[Customer Type].[Customer Type]" sourceCaption="Customer Type" count="2">
          <ranges>
            <range startItem="0">
              <i n="[SMALL_TABLE].[Customer Type].&amp;[Key Customer]" c="Key Customer"/>
              <i n="[SMALL_TABLE].[Customer Type].&amp;[Regular Customer]" c="Regular Customer"/>
            </range>
          </ranges>
        </level>
      </levels>
      <selections count="1">
        <selection n="[SMALL_TABLE].[Customer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B14FF90-2049-4056-8C48-3D0293B776BE}" sourceName="[الرئيسي].[Region]">
  <pivotTables>
    <pivotTable tabId="34" name="PivotTable1"/>
    <pivotTable tabId="37" name="PivotTable4"/>
    <pivotTable tabId="36" name="PivotTable3"/>
    <pivotTable tabId="38" name="PivotTable5"/>
    <pivotTable tabId="35" name="PivotTable2"/>
  </pivotTables>
  <data>
    <olap pivotCacheId="911943360">
      <levels count="2">
        <level uniqueName="[الرئيسي].[Region].[(All)]" sourceCaption="(All)" count="0"/>
        <level uniqueName="[الرئيسي].[Region].[Region]" sourceCaption="Region" count="7">
          <ranges>
            <range startItem="0">
              <i n="[الرئيسي].[Region].&amp;[Aswan]" c="Aswan"/>
              <i n="[الرئيسي].[Region].&amp;[Beheira]" c="Beheira"/>
              <i n="[الرئيسي].[Region].&amp;[Cairo]" c="Cairo"/>
              <i n="[الرئيسي].[Region].&amp;[Giza]" c="Giza"/>
              <i n="[الرئيسي].[Region].&amp;[Mansoura]" c="Mansoura"/>
              <i n="[الرئيسي].[Region].&amp;[Minya]" c="Minya"/>
              <i n="[الرئيسي].[Region].&amp;[Sharqia]" c="Sharqia"/>
            </range>
          </ranges>
        </level>
      </levels>
      <selections count="1">
        <selection n="[الرئيسي].[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E295203D-C125-4B9B-ABB1-444580E43872}" cache="Slicer_Customer_Type" caption="Customer Type" level="1" style="SlicerStyleDark3" rowHeight="241300"/>
  <slicer name="Region" xr10:uid="{37AA2B43-0B93-490B-ABEB-C50F132069A6}" cache="Slicer_Region" caption="Reg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3DC348-76F2-447A-8753-ED03E92DCE98}" name="SalesDataa" displayName="SalesDataa" ref="A1:K20" totalsRowCount="1" headerRowDxfId="40" dataDxfId="38" totalsRowDxfId="36" headerRowBorderDxfId="39" tableBorderDxfId="37" totalsRowBorderDxfId="35">
  <autoFilter ref="A1:K19" xr:uid="{543DC348-76F2-447A-8753-ED03E92DCE98}"/>
  <sortState xmlns:xlrd2="http://schemas.microsoft.com/office/spreadsheetml/2017/richdata2" ref="B2:K19">
    <sortCondition ref="B1:B19"/>
  </sortState>
  <tableColumns count="11">
    <tableColumn id="9" xr3:uid="{BF6FB1A9-74D4-4E2A-A146-570C6E23F16A}" name="Customer Name" dataDxfId="34" totalsRowDxfId="33"/>
    <tableColumn id="1" xr3:uid="{CD88AFB1-6FFD-44B6-BA29-A8FE749565DE}" name="Amount" dataDxfId="32" totalsRowDxfId="31"/>
    <tableColumn id="2" xr3:uid="{CFC644AA-24BF-494B-B7A9-06B5FCAC7CE3}" name="Transaction Type" dataDxfId="30" totalsRowDxfId="29"/>
    <tableColumn id="3" xr3:uid="{8E8F70AC-84EF-493C-BC76-665F5F41505E}" name="Amount " totalsRowFunction="custom" dataDxfId="28" totalsRowDxfId="27">
      <totalsRowFormula>SUMIFS(D2:D19,SalesDataa[Transaction Type],"Invoice",SalesDataa[Region],"Cairo")</totalsRowFormula>
    </tableColumn>
    <tableColumn id="4" xr3:uid="{F8C25E74-998A-45AE-91C4-606928122C29}" name="Tax" totalsRowFunction="custom" dataDxfId="26" totalsRowDxfId="25">
      <calculatedColumnFormula>$D$2*0.14</calculatedColumnFormula>
      <totalsRowFormula>SUM(SalesDataa[Tax])</totalsRowFormula>
    </tableColumn>
    <tableColumn id="5" xr3:uid="{B935E21A-6E69-46B6-8CC3-5264F38ABDB1}" name="Net Amount" totalsRowFunction="custom" dataDxfId="24" totalsRowDxfId="23">
      <calculatedColumnFormula>SalesDataa[[#This Row],[Amount ]]-SalesDataa[[#This Row],[Tax]]</calculatedColumnFormula>
      <totalsRowFormula>SUM(SalesDataa[Net Amount])</totalsRowFormula>
    </tableColumn>
    <tableColumn id="6" xr3:uid="{A6D4084F-0929-4493-B0FD-EA34B04F1E15}" name="Region" dataDxfId="22" totalsRowDxfId="21"/>
    <tableColumn id="7" xr3:uid="{8DE1F8F8-A600-4C49-9581-A7A44622B524}" name="Transaction Date" dataDxfId="20" totalsRowDxfId="19"/>
    <tableColumn id="8" xr3:uid="{59203E08-80D0-4D4A-95C7-68F69650B780}" name="Sales Rep" dataDxfId="18" totalsRowDxfId="17"/>
    <tableColumn id="10" xr3:uid="{882988D3-9E1E-4FFE-845B-0B2551F51BFD}" name="Collection Date" dataDxfId="16" totalsRowDxfId="15"/>
    <tableColumn id="11" xr3:uid="{60F0BA9A-FEF1-4170-ABBB-B9CAD16E1C05}" name="Remaining Days" totalsRowFunction="custom" dataDxfId="14" totalsRowDxfId="13">
      <calculatedColumnFormula>SalesDataa[[#This Row],[Collection Date]]-SalesDataa[[#This Row],[Transaction Date]]</calculatedColumnFormula>
      <totalsRowFormula>SUM(SalesDataa[Remaining Days])</totalsRow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F1B1AB-3EB1-4025-9746-42FDA63AB470}" name="SMALL_TABLE" displayName="SMALL_TABLE" ref="L1:P11" totalsRowShown="0" headerRowDxfId="12" dataDxfId="10" headerRowBorderDxfId="11" tableBorderDxfId="9" totalsRowBorderDxfId="8">
  <autoFilter ref="L1:P11" xr:uid="{6FF1B1AB-3EB1-4025-9746-42FDA63AB470}"/>
  <tableColumns count="5">
    <tableColumn id="1" xr3:uid="{A52754AE-EE70-456B-BAF1-4B90279E2910}" name="Customer Name" dataDxfId="7"/>
    <tableColumn id="2" xr3:uid="{FABB3170-E01C-4D60-A718-EA24E0021562}" name="Region" dataDxfId="6">
      <calculatedColumnFormula>VLOOKUP(L2:L11,database!$A$1:$B$19,2,FALSE)</calculatedColumnFormula>
    </tableColumn>
    <tableColumn id="3" xr3:uid="{D3995DC6-9FB7-4C9F-8CB9-A880E45C2382}" name="Net Amount" dataDxfId="5">
      <calculatedColumnFormula>SUMIFS($F$2:$F$19,SalesDataa[Customer Name],L2,SalesDataa[Transaction Type],"Invoice")-SUMIFS($F$2:$F$19,SalesDataa[Customer Name],L2,SalesDataa[Transaction Type],"Return")-SUMIFS($F$2:$F$19,SalesDataa[Customer Name],L2,SalesDataa[Transaction Type],"Discount")</calculatedColumnFormula>
    </tableColumn>
    <tableColumn id="4" xr3:uid="{A3FE3AFD-C13A-407A-833E-5B6D343D4FF6}" name="Customer Type" dataDxfId="4">
      <calculatedColumnFormula>IF(N2&gt;10000,"Key Customer","Regular Customer")</calculatedColumnFormula>
    </tableColumn>
    <tableColumn id="5" xr3:uid="{BA846DF9-846E-4064-A99B-52A85CA511BA}" name="Sales Percentage" dataDxfId="3">
      <calculatedColumnFormula>N2/SUM($N$2:$N$11)</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734FB-058A-49B5-9B53-BC1D81A80F7C}">
  <sheetPr>
    <tabColor theme="0"/>
  </sheetPr>
  <dimension ref="A1:V41"/>
  <sheetViews>
    <sheetView zoomScale="47" zoomScaleNormal="80" workbookViewId="0">
      <selection activeCell="C24" sqref="C24"/>
    </sheetView>
  </sheetViews>
  <sheetFormatPr defaultRowHeight="20" customHeight="1" x14ac:dyDescent="0.35"/>
  <cols>
    <col min="1" max="1" width="18.7265625" customWidth="1"/>
    <col min="2" max="3" width="15.6328125" style="3" customWidth="1"/>
    <col min="4" max="5" width="15.6328125" style="2" customWidth="1"/>
    <col min="6" max="6" width="15.6328125" style="5" customWidth="1"/>
    <col min="7" max="7" width="15.6328125" style="3" customWidth="1"/>
    <col min="8" max="8" width="15.6328125" style="10" customWidth="1"/>
    <col min="9" max="9" width="15.6328125" style="1" customWidth="1"/>
    <col min="10" max="10" width="15.6328125" style="9" customWidth="1"/>
    <col min="11" max="11" width="15.6328125" customWidth="1"/>
    <col min="12" max="12" width="18.08984375" customWidth="1"/>
    <col min="13" max="14" width="15.08984375" customWidth="1"/>
    <col min="15" max="15" width="16.453125" customWidth="1"/>
    <col min="16" max="16" width="13.08984375" customWidth="1"/>
    <col min="17" max="17" width="9.1796875" customWidth="1"/>
    <col min="18" max="18" width="15.26953125" customWidth="1"/>
    <col min="19" max="19" width="8.81640625" customWidth="1"/>
  </cols>
  <sheetData>
    <row r="1" spans="1:22" ht="40" customHeight="1" x14ac:dyDescent="0.35">
      <c r="A1" s="15" t="s">
        <v>2</v>
      </c>
      <c r="B1" s="16" t="s">
        <v>4</v>
      </c>
      <c r="C1" s="16" t="s">
        <v>3</v>
      </c>
      <c r="D1" s="16" t="s">
        <v>37</v>
      </c>
      <c r="E1" s="16" t="s">
        <v>5</v>
      </c>
      <c r="F1" s="16" t="s">
        <v>6</v>
      </c>
      <c r="G1" s="16" t="s">
        <v>7</v>
      </c>
      <c r="H1" s="16" t="s">
        <v>8</v>
      </c>
      <c r="I1" s="16" t="s">
        <v>9</v>
      </c>
      <c r="J1" s="16" t="s">
        <v>10</v>
      </c>
      <c r="K1" s="16" t="s">
        <v>11</v>
      </c>
      <c r="L1" s="14" t="s">
        <v>2</v>
      </c>
      <c r="M1" s="11" t="s">
        <v>7</v>
      </c>
      <c r="N1" s="11" t="s">
        <v>6</v>
      </c>
      <c r="O1" s="24" t="s">
        <v>38</v>
      </c>
      <c r="P1" s="24" t="s">
        <v>39</v>
      </c>
    </row>
    <row r="2" spans="1:22" ht="20" customHeight="1" x14ac:dyDescent="0.35">
      <c r="A2" s="17" t="s">
        <v>12</v>
      </c>
      <c r="B2" s="17">
        <v>15000</v>
      </c>
      <c r="C2" s="17" t="s">
        <v>13</v>
      </c>
      <c r="D2" s="25">
        <v>15000</v>
      </c>
      <c r="E2" s="25">
        <f t="shared" ref="E2:E19" si="0">$D$2*0.14</f>
        <v>2100</v>
      </c>
      <c r="F2" s="26">
        <f>SalesDataa[[#This Row],[Amount ]]-SalesDataa[[#This Row],[Tax]]</f>
        <v>12900</v>
      </c>
      <c r="G2" s="17" t="s">
        <v>14</v>
      </c>
      <c r="H2" s="18">
        <v>44213</v>
      </c>
      <c r="I2" s="17" t="s">
        <v>15</v>
      </c>
      <c r="J2" s="18">
        <v>44255</v>
      </c>
      <c r="K2" s="17">
        <f>SalesDataa[[#This Row],[Collection Date]]-SalesDataa[[#This Row],[Transaction Date]]</f>
        <v>42</v>
      </c>
      <c r="L2" s="17" t="s">
        <v>12</v>
      </c>
      <c r="M2" s="25" t="str">
        <f>VLOOKUP(L2:L11,database!$A$1:$B$19,2,FALSE)</f>
        <v>Cairo</v>
      </c>
      <c r="N2" s="26">
        <f>SUMIFS($F$2:$F$19,SalesDataa[Customer Name],L2,SalesDataa[Transaction Type],"Invoice")-SUMIFS($F$2:$F$19,SalesDataa[Customer Name],L2,SalesDataa[Transaction Type],"Return")-SUMIFS($F$2:$F$19,SalesDataa[Customer Name],L2,SalesDataa[Transaction Type],"Discount")</f>
        <v>14000</v>
      </c>
      <c r="O2" s="25" t="str">
        <f t="shared" ref="O2:O11" si="1">IF(N2&gt;10000,"Key Customer","Regular Customer")</f>
        <v>Key Customer</v>
      </c>
      <c r="P2" s="28">
        <f t="shared" ref="P2:P11" si="2">N2/SUM($N$2:$N$11)</f>
        <v>9.3770931011386477E-2</v>
      </c>
    </row>
    <row r="3" spans="1:22" ht="20" customHeight="1" x14ac:dyDescent="0.35">
      <c r="A3" s="17" t="s">
        <v>12</v>
      </c>
      <c r="B3" s="17">
        <v>1000</v>
      </c>
      <c r="C3" s="17" t="s">
        <v>16</v>
      </c>
      <c r="D3" s="25">
        <v>1000</v>
      </c>
      <c r="E3" s="25">
        <f t="shared" si="0"/>
        <v>2100</v>
      </c>
      <c r="F3" s="26">
        <f>SalesDataa[[#This Row],[Amount ]]-SalesDataa[[#This Row],[Tax]]</f>
        <v>-1100</v>
      </c>
      <c r="G3" s="17" t="s">
        <v>14</v>
      </c>
      <c r="H3" s="18">
        <v>44222</v>
      </c>
      <c r="I3" s="17" t="s">
        <v>15</v>
      </c>
      <c r="J3" s="18">
        <v>44255</v>
      </c>
      <c r="K3" s="17">
        <f>SalesDataa[[#This Row],[Collection Date]]-SalesDataa[[#This Row],[Transaction Date]]</f>
        <v>33</v>
      </c>
      <c r="L3" s="17" t="s">
        <v>17</v>
      </c>
      <c r="M3" s="25" t="str">
        <f>VLOOKUP(L3:L12,database!$A$1:$B$19,2,FALSE)</f>
        <v>Beheira</v>
      </c>
      <c r="N3" s="26">
        <f>SUMIFS($F$2:$F$19,SalesDataa[Customer Name],L3,SalesDataa[Transaction Type],"Invoice")-SUMIFS($F$2:$F$19,SalesDataa[Customer Name],L3,SalesDataa[Transaction Type],"Return")-SUMIFS($F$2:$F$19,SalesDataa[Customer Name],L3,SalesDataa[Transaction Type],"Discount")</f>
        <v>900</v>
      </c>
      <c r="O3" s="25" t="str">
        <f t="shared" si="1"/>
        <v>Regular Customer</v>
      </c>
      <c r="P3" s="28">
        <f t="shared" si="2"/>
        <v>6.0281312793034163E-3</v>
      </c>
    </row>
    <row r="4" spans="1:22" ht="20" customHeight="1" x14ac:dyDescent="0.35">
      <c r="A4" s="17" t="s">
        <v>17</v>
      </c>
      <c r="B4" s="17">
        <v>3000</v>
      </c>
      <c r="C4" s="17" t="s">
        <v>13</v>
      </c>
      <c r="D4" s="25">
        <v>3000</v>
      </c>
      <c r="E4" s="25">
        <f t="shared" si="0"/>
        <v>2100</v>
      </c>
      <c r="F4" s="26">
        <f>SalesDataa[[#This Row],[Amount ]]-SalesDataa[[#This Row],[Tax]]</f>
        <v>900</v>
      </c>
      <c r="G4" s="17" t="s">
        <v>18</v>
      </c>
      <c r="H4" s="18">
        <v>44218</v>
      </c>
      <c r="I4" s="17" t="s">
        <v>19</v>
      </c>
      <c r="J4" s="18">
        <v>44255</v>
      </c>
      <c r="K4" s="17">
        <f>SalesDataa[[#This Row],[Collection Date]]-SalesDataa[[#This Row],[Transaction Date]]</f>
        <v>37</v>
      </c>
      <c r="L4" s="17" t="s">
        <v>20</v>
      </c>
      <c r="M4" s="25" t="str">
        <f>VLOOKUP(L4:L13,database!$A$1:$B$19,2,FALSE)</f>
        <v>Cairo</v>
      </c>
      <c r="N4" s="26">
        <f>SUMIFS($F$2:$F$19,SalesDataa[Customer Name],L4,SalesDataa[Transaction Type],"Invoice")-SUMIFS($F$2:$F$19,SalesDataa[Customer Name],L4,SalesDataa[Transaction Type],"Return")-SUMIFS($F$2:$F$19,SalesDataa[Customer Name],L4,SalesDataa[Transaction Type],"Discount")</f>
        <v>1900</v>
      </c>
      <c r="O4" s="25" t="str">
        <f t="shared" si="1"/>
        <v>Regular Customer</v>
      </c>
      <c r="P4" s="28">
        <f t="shared" si="2"/>
        <v>1.2726054922973878E-2</v>
      </c>
    </row>
    <row r="5" spans="1:22" ht="20" customHeight="1" x14ac:dyDescent="0.35">
      <c r="A5" s="17" t="s">
        <v>20</v>
      </c>
      <c r="B5" s="17">
        <v>4000</v>
      </c>
      <c r="C5" s="17" t="s">
        <v>13</v>
      </c>
      <c r="D5" s="25">
        <v>4000</v>
      </c>
      <c r="E5" s="25">
        <f t="shared" si="0"/>
        <v>2100</v>
      </c>
      <c r="F5" s="26">
        <f>SalesDataa[[#This Row],[Amount ]]-SalesDataa[[#This Row],[Tax]]</f>
        <v>1900</v>
      </c>
      <c r="G5" s="17" t="s">
        <v>14</v>
      </c>
      <c r="H5" s="18">
        <v>44216</v>
      </c>
      <c r="I5" s="17" t="s">
        <v>21</v>
      </c>
      <c r="J5" s="18">
        <v>44255</v>
      </c>
      <c r="K5" s="17">
        <f>SalesDataa[[#This Row],[Collection Date]]-SalesDataa[[#This Row],[Transaction Date]]</f>
        <v>39</v>
      </c>
      <c r="L5" s="17" t="s">
        <v>22</v>
      </c>
      <c r="M5" s="25" t="str">
        <f>VLOOKUP(L5:L14,database!$A$1:$B$19,2,FALSE)</f>
        <v>Mansoura</v>
      </c>
      <c r="N5" s="26">
        <f>SUMIFS($F$2:$F$19,SalesDataa[Customer Name],L5,SalesDataa[Transaction Type],"Invoice")-SUMIFS($F$2:$F$19,SalesDataa[Customer Name],L5,SalesDataa[Transaction Type],"Return")-SUMIFS($F$2:$F$19,SalesDataa[Customer Name],L5,SalesDataa[Transaction Type],"Discount")</f>
        <v>6800</v>
      </c>
      <c r="O5" s="25" t="str">
        <f t="shared" si="1"/>
        <v>Regular Customer</v>
      </c>
      <c r="P5" s="28">
        <f t="shared" si="2"/>
        <v>4.554588077695914E-2</v>
      </c>
    </row>
    <row r="6" spans="1:22" ht="20" customHeight="1" x14ac:dyDescent="0.35">
      <c r="A6" s="17" t="s">
        <v>22</v>
      </c>
      <c r="B6" s="17">
        <v>5000</v>
      </c>
      <c r="C6" s="17" t="s">
        <v>13</v>
      </c>
      <c r="D6" s="25">
        <v>5000</v>
      </c>
      <c r="E6" s="25">
        <f t="shared" si="0"/>
        <v>2100</v>
      </c>
      <c r="F6" s="26">
        <f>SalesDataa[[#This Row],[Amount ]]-SalesDataa[[#This Row],[Tax]]</f>
        <v>2900</v>
      </c>
      <c r="G6" s="17" t="s">
        <v>23</v>
      </c>
      <c r="H6" s="18">
        <v>44212</v>
      </c>
      <c r="I6" s="17" t="s">
        <v>21</v>
      </c>
      <c r="J6" s="18">
        <v>44255</v>
      </c>
      <c r="K6" s="17">
        <f>SalesDataa[[#This Row],[Collection Date]]-SalesDataa[[#This Row],[Transaction Date]]</f>
        <v>43</v>
      </c>
      <c r="L6" s="17" t="s">
        <v>26</v>
      </c>
      <c r="M6" s="25" t="str">
        <f>VLOOKUP(L6:L15,database!$A$1:$B$19,2,FALSE)</f>
        <v>Sharqia</v>
      </c>
      <c r="N6" s="26">
        <f>SUMIFS($F$2:$F$19,SalesDataa[Customer Name],L6,SalesDataa[Transaction Type],"Invoice")-SUMIFS($F$2:$F$19,SalesDataa[Customer Name],L6,SalesDataa[Transaction Type],"Return")-SUMIFS($F$2:$F$19,SalesDataa[Customer Name],L6,SalesDataa[Transaction Type],"Discount")</f>
        <v>13900</v>
      </c>
      <c r="O6" s="25" t="str">
        <f t="shared" si="1"/>
        <v>Key Customer</v>
      </c>
      <c r="P6" s="28">
        <f t="shared" si="2"/>
        <v>9.3101138647019424E-2</v>
      </c>
    </row>
    <row r="7" spans="1:22" ht="20" customHeight="1" x14ac:dyDescent="0.35">
      <c r="A7" s="17" t="s">
        <v>22</v>
      </c>
      <c r="B7" s="17">
        <v>2000</v>
      </c>
      <c r="C7" s="17" t="s">
        <v>13</v>
      </c>
      <c r="D7" s="25">
        <v>2000</v>
      </c>
      <c r="E7" s="25">
        <f t="shared" si="0"/>
        <v>2100</v>
      </c>
      <c r="F7" s="26">
        <f>SalesDataa[[#This Row],[Amount ]]-SalesDataa[[#This Row],[Tax]]</f>
        <v>-100</v>
      </c>
      <c r="G7" s="17" t="s">
        <v>24</v>
      </c>
      <c r="H7" s="18">
        <v>44217</v>
      </c>
      <c r="I7" s="17" t="s">
        <v>15</v>
      </c>
      <c r="J7" s="18">
        <v>44255</v>
      </c>
      <c r="K7" s="17">
        <f>SalesDataa[[#This Row],[Collection Date]]-SalesDataa[[#This Row],[Transaction Date]]</f>
        <v>38</v>
      </c>
      <c r="L7" s="17" t="s">
        <v>28</v>
      </c>
      <c r="M7" s="25" t="str">
        <f>VLOOKUP(L7:L16,database!$A$1:$B$19,2,FALSE)</f>
        <v>Minya</v>
      </c>
      <c r="N7" s="26">
        <f>SUMIFS($F$2:$F$19,SalesDataa[Customer Name],L7,SalesDataa[Transaction Type],"Invoice")-SUMIFS($F$2:$F$19,SalesDataa[Customer Name],L7,SalesDataa[Transaction Type],"Return")-SUMIFS($F$2:$F$19,SalesDataa[Customer Name],L7,SalesDataa[Transaction Type],"Discount")</f>
        <v>67900</v>
      </c>
      <c r="O7" s="25" t="str">
        <f t="shared" si="1"/>
        <v>Key Customer</v>
      </c>
      <c r="P7" s="28">
        <f t="shared" si="2"/>
        <v>0.45478901540522437</v>
      </c>
    </row>
    <row r="8" spans="1:22" ht="20" customHeight="1" x14ac:dyDescent="0.35">
      <c r="A8" s="17" t="s">
        <v>22</v>
      </c>
      <c r="B8" s="17">
        <v>1000</v>
      </c>
      <c r="C8" s="17" t="s">
        <v>16</v>
      </c>
      <c r="D8" s="25">
        <v>1000</v>
      </c>
      <c r="E8" s="25">
        <f t="shared" si="0"/>
        <v>2100</v>
      </c>
      <c r="F8" s="26">
        <f>SalesDataa[[#This Row],[Amount ]]-SalesDataa[[#This Row],[Tax]]</f>
        <v>-1100</v>
      </c>
      <c r="G8" s="17" t="s">
        <v>23</v>
      </c>
      <c r="H8" s="18">
        <v>44225</v>
      </c>
      <c r="I8" s="17" t="s">
        <v>21</v>
      </c>
      <c r="J8" s="18">
        <v>44255</v>
      </c>
      <c r="K8" s="17">
        <f>SalesDataa[[#This Row],[Collection Date]]-SalesDataa[[#This Row],[Transaction Date]]</f>
        <v>30</v>
      </c>
      <c r="L8" s="17" t="s">
        <v>31</v>
      </c>
      <c r="M8" s="25" t="str">
        <f>VLOOKUP(L8:L17,database!$A$1:$B$19,2,FALSE)</f>
        <v>Mansoura</v>
      </c>
      <c r="N8" s="26">
        <f>SUMIFS($F$2:$F$19,SalesDataa[Customer Name],L8,SalesDataa[Transaction Type],"Invoice")-SUMIFS($F$2:$F$19,SalesDataa[Customer Name],L8,SalesDataa[Transaction Type],"Return")-SUMIFS($F$2:$F$19,SalesDataa[Customer Name],L8,SalesDataa[Transaction Type],"Discount")</f>
        <v>6900</v>
      </c>
      <c r="O8" s="25" t="str">
        <f t="shared" si="1"/>
        <v>Regular Customer</v>
      </c>
      <c r="P8" s="28">
        <f t="shared" si="2"/>
        <v>4.6215673141326186E-2</v>
      </c>
    </row>
    <row r="9" spans="1:22" ht="20" customHeight="1" x14ac:dyDescent="0.35">
      <c r="A9" s="17" t="s">
        <v>22</v>
      </c>
      <c r="B9" s="17">
        <v>5000</v>
      </c>
      <c r="C9" s="17" t="s">
        <v>13</v>
      </c>
      <c r="D9" s="25">
        <v>5000</v>
      </c>
      <c r="E9" s="25">
        <f t="shared" si="0"/>
        <v>2100</v>
      </c>
      <c r="F9" s="26">
        <f>SalesDataa[[#This Row],[Amount ]]-SalesDataa[[#This Row],[Tax]]</f>
        <v>2900</v>
      </c>
      <c r="G9" s="17" t="s">
        <v>23</v>
      </c>
      <c r="H9" s="18">
        <v>44227</v>
      </c>
      <c r="I9" s="17" t="s">
        <v>25</v>
      </c>
      <c r="J9" s="18">
        <v>44255</v>
      </c>
      <c r="K9" s="17">
        <f>SalesDataa[[#This Row],[Collection Date]]-SalesDataa[[#This Row],[Transaction Date]]</f>
        <v>28</v>
      </c>
      <c r="L9" s="17" t="s">
        <v>32</v>
      </c>
      <c r="M9" s="25" t="str">
        <f>VLOOKUP(L9:L18,database!$A$1:$B$19,2,FALSE)</f>
        <v>Aswan</v>
      </c>
      <c r="N9" s="26">
        <f>SUMIFS($F$2:$F$19,SalesDataa[Customer Name],L9,SalesDataa[Transaction Type],"Invoice")-SUMIFS($F$2:$F$19,SalesDataa[Customer Name],L9,SalesDataa[Transaction Type],"Return")-SUMIFS($F$2:$F$19,SalesDataa[Customer Name],L9,SalesDataa[Transaction Type],"Discount")</f>
        <v>25900</v>
      </c>
      <c r="O9" s="25" t="str">
        <f t="shared" si="1"/>
        <v>Key Customer</v>
      </c>
      <c r="P9" s="28">
        <f t="shared" si="2"/>
        <v>0.17347622237106497</v>
      </c>
    </row>
    <row r="10" spans="1:22" ht="20" customHeight="1" x14ac:dyDescent="0.35">
      <c r="A10" s="17" t="s">
        <v>26</v>
      </c>
      <c r="B10" s="17">
        <v>16000</v>
      </c>
      <c r="C10" s="17" t="s">
        <v>13</v>
      </c>
      <c r="D10" s="25">
        <v>16000</v>
      </c>
      <c r="E10" s="25">
        <f t="shared" si="0"/>
        <v>2100</v>
      </c>
      <c r="F10" s="26">
        <f>SalesDataa[[#This Row],[Amount ]]-SalesDataa[[#This Row],[Tax]]</f>
        <v>13900</v>
      </c>
      <c r="G10" s="17" t="s">
        <v>27</v>
      </c>
      <c r="H10" s="18">
        <v>44220</v>
      </c>
      <c r="I10" s="17" t="s">
        <v>21</v>
      </c>
      <c r="J10" s="18">
        <v>44255</v>
      </c>
      <c r="K10" s="17">
        <f>SalesDataa[[#This Row],[Collection Date]]-SalesDataa[[#This Row],[Transaction Date]]</f>
        <v>35</v>
      </c>
      <c r="L10" s="17" t="s">
        <v>34</v>
      </c>
      <c r="M10" s="25" t="str">
        <f>VLOOKUP(L10:L19,database!$A$1:$B$19,2,FALSE)</f>
        <v>Beheira</v>
      </c>
      <c r="N10" s="26">
        <f>SUMIFS($F$2:$F$19,SalesDataa[Customer Name],L10,SalesDataa[Transaction Type],"Invoice")-SUMIFS($F$2:$F$19,SalesDataa[Customer Name],L10,SalesDataa[Transaction Type],"Return")-SUMIFS($F$2:$F$19,SalesDataa[Customer Name],L10,SalesDataa[Transaction Type],"Discount")</f>
        <v>3300</v>
      </c>
      <c r="O10" s="25" t="str">
        <f t="shared" si="1"/>
        <v>Regular Customer</v>
      </c>
      <c r="P10" s="28">
        <f t="shared" si="2"/>
        <v>2.2103148024112524E-2</v>
      </c>
    </row>
    <row r="11" spans="1:22" ht="20" customHeight="1" x14ac:dyDescent="0.35">
      <c r="A11" s="17" t="s">
        <v>28</v>
      </c>
      <c r="B11" s="17">
        <v>70000</v>
      </c>
      <c r="C11" s="17" t="s">
        <v>13</v>
      </c>
      <c r="D11" s="25">
        <v>70000</v>
      </c>
      <c r="E11" s="25">
        <f t="shared" si="0"/>
        <v>2100</v>
      </c>
      <c r="F11" s="26">
        <f>SalesDataa[[#This Row],[Amount ]]-SalesDataa[[#This Row],[Tax]]</f>
        <v>67900</v>
      </c>
      <c r="G11" s="17" t="s">
        <v>29</v>
      </c>
      <c r="H11" s="18">
        <v>44215</v>
      </c>
      <c r="I11" s="17" t="s">
        <v>30</v>
      </c>
      <c r="J11" s="18">
        <v>44255</v>
      </c>
      <c r="K11" s="17">
        <f>SalesDataa[[#This Row],[Collection Date]]-SalesDataa[[#This Row],[Transaction Date]]</f>
        <v>40</v>
      </c>
      <c r="L11" s="17" t="s">
        <v>36</v>
      </c>
      <c r="M11" s="25" t="str">
        <f>VLOOKUP(L11:L20,database!$A$1:$B$19,2,FALSE)</f>
        <v>Giza</v>
      </c>
      <c r="N11" s="26">
        <f>SUMIFS($F$2:$F$19,SalesDataa[Customer Name],L11,SalesDataa[Transaction Type],"Invoice")-SUMIFS($F$2:$F$19,SalesDataa[Customer Name],L11,SalesDataa[Transaction Type],"Return")-SUMIFS($F$2:$F$19,SalesDataa[Customer Name],L11,SalesDataa[Transaction Type],"Discount")</f>
        <v>7800</v>
      </c>
      <c r="O11" s="25" t="str">
        <f t="shared" si="1"/>
        <v>Regular Customer</v>
      </c>
      <c r="P11" s="28">
        <f t="shared" si="2"/>
        <v>5.2243804420629605E-2</v>
      </c>
    </row>
    <row r="12" spans="1:22" ht="20" customHeight="1" x14ac:dyDescent="0.35">
      <c r="A12" s="17" t="s">
        <v>31</v>
      </c>
      <c r="B12" s="17">
        <v>9000</v>
      </c>
      <c r="C12" s="17" t="s">
        <v>13</v>
      </c>
      <c r="D12" s="25">
        <v>9000</v>
      </c>
      <c r="E12" s="25">
        <f t="shared" si="0"/>
        <v>2100</v>
      </c>
      <c r="F12" s="26">
        <f>SalesDataa[[#This Row],[Amount ]]-SalesDataa[[#This Row],[Tax]]</f>
        <v>6900</v>
      </c>
      <c r="G12" s="17" t="s">
        <v>23</v>
      </c>
      <c r="H12" s="18">
        <v>44219</v>
      </c>
      <c r="I12" s="17" t="s">
        <v>30</v>
      </c>
      <c r="J12" s="18">
        <v>44255</v>
      </c>
      <c r="K12" s="17">
        <f>SalesDataa[[#This Row],[Collection Date]]-SalesDataa[[#This Row],[Transaction Date]]</f>
        <v>36</v>
      </c>
    </row>
    <row r="13" spans="1:22" ht="20" customHeight="1" x14ac:dyDescent="0.35">
      <c r="A13" s="17" t="s">
        <v>32</v>
      </c>
      <c r="B13" s="17">
        <v>20000</v>
      </c>
      <c r="C13" s="17" t="s">
        <v>13</v>
      </c>
      <c r="D13" s="25">
        <v>20000</v>
      </c>
      <c r="E13" s="25">
        <f t="shared" si="0"/>
        <v>2100</v>
      </c>
      <c r="F13" s="26">
        <f>SalesDataa[[#This Row],[Amount ]]-SalesDataa[[#This Row],[Tax]]</f>
        <v>17900</v>
      </c>
      <c r="G13" s="17" t="s">
        <v>33</v>
      </c>
      <c r="H13" s="18">
        <v>44214</v>
      </c>
      <c r="I13" s="17" t="s">
        <v>25</v>
      </c>
      <c r="J13" s="18">
        <v>44255</v>
      </c>
      <c r="K13" s="17">
        <f>SalesDataa[[#This Row],[Collection Date]]-SalesDataa[[#This Row],[Transaction Date]]</f>
        <v>41</v>
      </c>
    </row>
    <row r="14" spans="1:22" ht="20" customHeight="1" x14ac:dyDescent="0.35">
      <c r="A14" s="17" t="s">
        <v>32</v>
      </c>
      <c r="B14" s="17">
        <v>10000</v>
      </c>
      <c r="C14" s="17" t="s">
        <v>13</v>
      </c>
      <c r="D14" s="25">
        <v>10000</v>
      </c>
      <c r="E14" s="25">
        <f t="shared" si="0"/>
        <v>2100</v>
      </c>
      <c r="F14" s="26">
        <f>SalesDataa[[#This Row],[Amount ]]-SalesDataa[[#This Row],[Tax]]</f>
        <v>7900</v>
      </c>
      <c r="G14" s="17" t="s">
        <v>33</v>
      </c>
      <c r="H14" s="18">
        <v>44221</v>
      </c>
      <c r="I14" s="17" t="s">
        <v>15</v>
      </c>
      <c r="J14" s="18">
        <v>44255</v>
      </c>
      <c r="K14" s="17">
        <f>SalesDataa[[#This Row],[Collection Date]]-SalesDataa[[#This Row],[Transaction Date]]</f>
        <v>34</v>
      </c>
      <c r="V14" s="4"/>
    </row>
    <row r="15" spans="1:22" ht="20" customHeight="1" x14ac:dyDescent="0.35">
      <c r="A15" s="17" t="s">
        <v>32</v>
      </c>
      <c r="B15" s="17">
        <v>2000</v>
      </c>
      <c r="C15" s="17" t="s">
        <v>16</v>
      </c>
      <c r="D15" s="25">
        <v>2000</v>
      </c>
      <c r="E15" s="25">
        <f t="shared" si="0"/>
        <v>2100</v>
      </c>
      <c r="F15" s="26">
        <f>SalesDataa[[#This Row],[Amount ]]-SalesDataa[[#This Row],[Tax]]</f>
        <v>-100</v>
      </c>
      <c r="G15" s="17" t="s">
        <v>27</v>
      </c>
      <c r="H15" s="18">
        <v>44226</v>
      </c>
      <c r="I15" s="17" t="s">
        <v>25</v>
      </c>
      <c r="J15" s="18">
        <v>44255</v>
      </c>
      <c r="K15" s="17">
        <f>SalesDataa[[#This Row],[Collection Date]]-SalesDataa[[#This Row],[Transaction Date]]</f>
        <v>29</v>
      </c>
    </row>
    <row r="16" spans="1:22" ht="20" customHeight="1" x14ac:dyDescent="0.35">
      <c r="A16" s="17" t="s">
        <v>34</v>
      </c>
      <c r="B16" s="17">
        <v>7000</v>
      </c>
      <c r="C16" s="17" t="s">
        <v>13</v>
      </c>
      <c r="D16" s="25">
        <v>7000</v>
      </c>
      <c r="E16" s="25">
        <f t="shared" si="0"/>
        <v>2100</v>
      </c>
      <c r="F16" s="26">
        <f>SalesDataa[[#This Row],[Amount ]]-SalesDataa[[#This Row],[Tax]]</f>
        <v>4900</v>
      </c>
      <c r="G16" s="17" t="s">
        <v>18</v>
      </c>
      <c r="H16" s="18">
        <v>44211</v>
      </c>
      <c r="I16" s="17" t="s">
        <v>30</v>
      </c>
      <c r="J16" s="18">
        <v>44255</v>
      </c>
      <c r="K16" s="17">
        <f>SalesDataa[[#This Row],[Collection Date]]-SalesDataa[[#This Row],[Transaction Date]]</f>
        <v>44</v>
      </c>
    </row>
    <row r="17" spans="1:22" ht="20" customHeight="1" x14ac:dyDescent="0.35">
      <c r="A17" s="17" t="s">
        <v>34</v>
      </c>
      <c r="B17" s="17">
        <v>500</v>
      </c>
      <c r="C17" s="17" t="s">
        <v>35</v>
      </c>
      <c r="D17" s="25">
        <v>500</v>
      </c>
      <c r="E17" s="25">
        <f t="shared" si="0"/>
        <v>2100</v>
      </c>
      <c r="F17" s="26">
        <f>-(SalesDataa[[#This Row],[Amount ]]-SalesDataa[[#This Row],[Tax]])</f>
        <v>1600</v>
      </c>
      <c r="G17" s="17" t="s">
        <v>18</v>
      </c>
      <c r="H17" s="18">
        <v>44224</v>
      </c>
      <c r="I17" s="17" t="s">
        <v>30</v>
      </c>
      <c r="J17" s="18">
        <v>44255</v>
      </c>
      <c r="K17" s="17">
        <f>SalesDataa[[#This Row],[Collection Date]]-SalesDataa[[#This Row],[Transaction Date]]</f>
        <v>31</v>
      </c>
      <c r="V17" s="4"/>
    </row>
    <row r="18" spans="1:22" ht="20" customHeight="1" x14ac:dyDescent="0.35">
      <c r="A18" s="17" t="s">
        <v>36</v>
      </c>
      <c r="B18" s="17">
        <v>10000</v>
      </c>
      <c r="C18" s="17" t="s">
        <v>13</v>
      </c>
      <c r="D18" s="25">
        <v>10000</v>
      </c>
      <c r="E18" s="25">
        <f t="shared" si="0"/>
        <v>2100</v>
      </c>
      <c r="F18" s="26">
        <f>SalesDataa[[#This Row],[Amount ]]-SalesDataa[[#This Row],[Tax]]</f>
        <v>7900</v>
      </c>
      <c r="G18" s="17" t="s">
        <v>24</v>
      </c>
      <c r="H18" s="18">
        <v>44210</v>
      </c>
      <c r="I18" s="17" t="s">
        <v>25</v>
      </c>
      <c r="J18" s="18">
        <v>44255</v>
      </c>
      <c r="K18" s="17">
        <f>SalesDataa[[#This Row],[Collection Date]]-SalesDataa[[#This Row],[Transaction Date]]</f>
        <v>45</v>
      </c>
      <c r="V18" s="4"/>
    </row>
    <row r="19" spans="1:22" ht="20" customHeight="1" x14ac:dyDescent="0.35">
      <c r="A19" s="17" t="s">
        <v>36</v>
      </c>
      <c r="B19" s="17">
        <v>2000</v>
      </c>
      <c r="C19" s="17" t="s">
        <v>35</v>
      </c>
      <c r="D19" s="27">
        <v>2000</v>
      </c>
      <c r="E19" s="27">
        <f t="shared" si="0"/>
        <v>2100</v>
      </c>
      <c r="F19" s="26">
        <f>-(SalesDataa[[#This Row],[Amount ]]-SalesDataa[[#This Row],[Tax]])</f>
        <v>100</v>
      </c>
      <c r="G19" s="17" t="s">
        <v>24</v>
      </c>
      <c r="H19" s="18">
        <v>44223</v>
      </c>
      <c r="I19" s="17" t="s">
        <v>25</v>
      </c>
      <c r="J19" s="18">
        <v>44255</v>
      </c>
      <c r="K19" s="17">
        <f>SalesDataa[[#This Row],[Collection Date]]-SalesDataa[[#This Row],[Transaction Date]]</f>
        <v>32</v>
      </c>
      <c r="V19" s="4"/>
    </row>
    <row r="20" spans="1:22" ht="20" customHeight="1" x14ac:dyDescent="0.35">
      <c r="A20" s="17"/>
      <c r="B20" s="19"/>
      <c r="C20" s="20"/>
      <c r="D20" s="29">
        <f>SUMIFS(D2:D19,SalesDataa[Transaction Type],"Invoice",SalesDataa[Region],"Cairo")</f>
        <v>19000</v>
      </c>
      <c r="E20" s="27">
        <f>SUM(SalesDataa[Tax])</f>
        <v>37800</v>
      </c>
      <c r="F20" s="30">
        <f>SUM(SalesDataa[Net Amount])</f>
        <v>148100</v>
      </c>
      <c r="G20" s="20"/>
      <c r="H20" s="21"/>
      <c r="I20" s="21"/>
      <c r="J20" s="22"/>
      <c r="K20" s="23">
        <f>SUM(SalesDataa[Remaining Days])</f>
        <v>657</v>
      </c>
      <c r="V20" s="4"/>
    </row>
    <row r="21" spans="1:22" ht="20" customHeight="1" x14ac:dyDescent="0.35">
      <c r="I21" s="11"/>
      <c r="J21" s="11"/>
      <c r="K21" s="11"/>
      <c r="L21" s="11"/>
      <c r="M21" s="11"/>
      <c r="N21" s="11"/>
      <c r="O21" s="11"/>
      <c r="P21" s="11"/>
    </row>
    <row r="22" spans="1:22" ht="20" customHeight="1" x14ac:dyDescent="0.35">
      <c r="I22" s="12"/>
      <c r="J22" s="12"/>
      <c r="K22" s="12"/>
      <c r="L22" s="12"/>
      <c r="M22" s="13"/>
      <c r="N22" s="12"/>
      <c r="O22" s="13"/>
      <c r="P22" s="12"/>
    </row>
    <row r="23" spans="1:22" ht="20" customHeight="1" x14ac:dyDescent="0.35">
      <c r="I23" s="12"/>
      <c r="J23" s="12"/>
      <c r="K23" s="12"/>
      <c r="L23" s="12"/>
      <c r="M23" s="13"/>
      <c r="N23" s="12"/>
      <c r="O23" s="13"/>
      <c r="P23" s="12"/>
    </row>
    <row r="24" spans="1:22" ht="20" customHeight="1" x14ac:dyDescent="0.35">
      <c r="E24" s="12"/>
      <c r="F24" s="12"/>
      <c r="I24" s="12"/>
      <c r="J24" s="12"/>
      <c r="K24" s="12"/>
      <c r="L24" s="12"/>
      <c r="M24" s="13"/>
      <c r="N24" s="12"/>
      <c r="O24" s="13"/>
      <c r="P24" s="12"/>
      <c r="V24" s="4"/>
    </row>
    <row r="25" spans="1:22" ht="20" customHeight="1" x14ac:dyDescent="0.35">
      <c r="E25" s="12"/>
      <c r="F25" s="12"/>
      <c r="I25" s="12"/>
      <c r="J25" s="12"/>
      <c r="K25" s="12"/>
      <c r="L25" s="12"/>
      <c r="M25" s="13"/>
      <c r="N25" s="12"/>
      <c r="O25" s="13"/>
      <c r="P25" s="12"/>
      <c r="V25" s="4"/>
    </row>
    <row r="26" spans="1:22" ht="20" customHeight="1" x14ac:dyDescent="0.35">
      <c r="E26" s="12"/>
      <c r="F26" s="12"/>
      <c r="I26" s="12"/>
      <c r="J26" s="12"/>
      <c r="K26" s="12"/>
      <c r="L26" s="12"/>
      <c r="M26" s="13"/>
      <c r="N26" s="12"/>
      <c r="O26" s="13"/>
      <c r="P26" s="12"/>
      <c r="V26" s="4"/>
    </row>
    <row r="27" spans="1:22" ht="20" customHeight="1" x14ac:dyDescent="0.35">
      <c r="E27" s="12"/>
      <c r="F27" s="12"/>
      <c r="I27" s="12"/>
      <c r="J27" s="12"/>
      <c r="K27" s="12"/>
      <c r="L27" s="12"/>
      <c r="M27" s="13"/>
      <c r="N27" s="12"/>
      <c r="O27" s="13"/>
      <c r="P27" s="12"/>
    </row>
    <row r="28" spans="1:22" ht="20" customHeight="1" x14ac:dyDescent="0.35">
      <c r="E28" s="12"/>
      <c r="F28" s="12"/>
      <c r="I28" s="12"/>
      <c r="J28" s="12"/>
      <c r="K28" s="12"/>
      <c r="L28" s="12"/>
      <c r="M28" s="13"/>
      <c r="N28" s="12"/>
      <c r="O28" s="13"/>
      <c r="P28" s="12"/>
    </row>
    <row r="29" spans="1:22" ht="20" customHeight="1" x14ac:dyDescent="0.35">
      <c r="E29" s="12"/>
      <c r="F29" s="12"/>
      <c r="I29" s="12"/>
      <c r="J29" s="12"/>
      <c r="K29" s="12"/>
      <c r="L29" s="12"/>
      <c r="M29" s="13"/>
      <c r="N29" s="12"/>
      <c r="O29" s="13"/>
      <c r="P29" s="12"/>
    </row>
    <row r="30" spans="1:22" ht="20" customHeight="1" x14ac:dyDescent="0.35">
      <c r="E30" s="12"/>
      <c r="F30" s="12"/>
      <c r="I30" s="12"/>
      <c r="J30" s="12"/>
      <c r="K30" s="12"/>
      <c r="L30" s="12"/>
      <c r="M30" s="13"/>
      <c r="N30" s="12"/>
      <c r="O30" s="13"/>
      <c r="P30" s="12"/>
    </row>
    <row r="31" spans="1:22" ht="20" customHeight="1" x14ac:dyDescent="0.35">
      <c r="E31" s="12"/>
      <c r="F31" s="12"/>
      <c r="I31" s="12"/>
      <c r="J31" s="12"/>
      <c r="K31" s="12"/>
      <c r="L31" s="12"/>
      <c r="M31" s="13"/>
      <c r="N31" s="12"/>
      <c r="O31" s="13"/>
      <c r="P31" s="12"/>
    </row>
    <row r="32" spans="1:22" ht="20" customHeight="1" x14ac:dyDescent="0.35">
      <c r="E32" s="12"/>
      <c r="F32" s="12"/>
      <c r="I32" s="12"/>
      <c r="J32" s="12"/>
      <c r="K32" s="12"/>
      <c r="L32" s="12"/>
      <c r="M32" s="13"/>
      <c r="N32" s="12"/>
      <c r="O32" s="13"/>
      <c r="P32" s="12"/>
    </row>
    <row r="33" spans="5:16" ht="20" customHeight="1" x14ac:dyDescent="0.35">
      <c r="E33" s="12"/>
      <c r="F33" s="12"/>
      <c r="I33" s="12"/>
      <c r="J33" s="12"/>
      <c r="K33" s="12"/>
      <c r="L33" s="12"/>
      <c r="M33" s="13"/>
      <c r="N33" s="12"/>
      <c r="O33" s="13"/>
      <c r="P33" s="12"/>
    </row>
    <row r="34" spans="5:16" ht="20" customHeight="1" x14ac:dyDescent="0.35">
      <c r="E34" s="12"/>
      <c r="F34" s="12"/>
      <c r="I34" s="12"/>
      <c r="J34" s="12"/>
      <c r="K34" s="12"/>
      <c r="L34" s="12"/>
      <c r="M34" s="13"/>
      <c r="N34" s="12"/>
      <c r="O34" s="13"/>
      <c r="P34" s="12"/>
    </row>
    <row r="35" spans="5:16" ht="20" customHeight="1" x14ac:dyDescent="0.35">
      <c r="E35" s="12"/>
      <c r="F35" s="12"/>
      <c r="I35" s="12"/>
      <c r="J35" s="12"/>
      <c r="K35" s="12"/>
      <c r="L35" s="12"/>
      <c r="M35" s="13"/>
      <c r="N35" s="12"/>
      <c r="O35" s="13"/>
      <c r="P35" s="12"/>
    </row>
    <row r="36" spans="5:16" ht="20" customHeight="1" x14ac:dyDescent="0.35">
      <c r="E36" s="12"/>
      <c r="F36" s="12"/>
      <c r="I36" s="12"/>
      <c r="J36" s="12"/>
      <c r="K36" s="12"/>
      <c r="L36" s="12"/>
      <c r="M36" s="13"/>
      <c r="N36" s="12"/>
      <c r="O36" s="13"/>
      <c r="P36" s="12"/>
    </row>
    <row r="37" spans="5:16" ht="20" customHeight="1" x14ac:dyDescent="0.35">
      <c r="E37" s="12"/>
      <c r="F37" s="12"/>
      <c r="I37" s="12"/>
      <c r="J37" s="12"/>
      <c r="K37" s="12"/>
      <c r="L37" s="12"/>
      <c r="M37" s="13"/>
      <c r="N37" s="12"/>
      <c r="O37" s="13"/>
      <c r="P37" s="12"/>
    </row>
    <row r="38" spans="5:16" ht="20" customHeight="1" x14ac:dyDescent="0.35">
      <c r="E38" s="12"/>
      <c r="F38" s="12"/>
      <c r="I38" s="12"/>
      <c r="J38" s="12"/>
      <c r="K38" s="12"/>
      <c r="L38" s="12"/>
      <c r="M38" s="13"/>
      <c r="N38" s="12"/>
      <c r="O38" s="13"/>
      <c r="P38" s="12"/>
    </row>
    <row r="39" spans="5:16" ht="20" customHeight="1" x14ac:dyDescent="0.35">
      <c r="E39" s="12"/>
      <c r="F39" s="12"/>
      <c r="I39" s="12"/>
      <c r="J39" s="12"/>
      <c r="K39" s="12"/>
      <c r="L39" s="12"/>
      <c r="M39" s="13"/>
      <c r="N39" s="12"/>
      <c r="O39" s="13"/>
      <c r="P39" s="12"/>
    </row>
    <row r="40" spans="5:16" ht="20" customHeight="1" x14ac:dyDescent="0.35">
      <c r="E40" s="12"/>
      <c r="F40" s="12"/>
    </row>
    <row r="41" spans="5:16" ht="20" customHeight="1" x14ac:dyDescent="0.35">
      <c r="E41" s="12"/>
      <c r="F41" s="12"/>
    </row>
  </sheetData>
  <dataConsolidate topLabels="1">
    <dataRefs count="2">
      <dataRef ref="F16:F31" sheet="SalesDataa"/>
      <dataRef ref="G16:G31" sheet="SalesDataa"/>
    </dataRefs>
  </dataConsolidate>
  <phoneticPr fontId="1" type="noConversion"/>
  <conditionalFormatting sqref="L1:L9 M2:M11 O2:O11">
    <cfRule type="containsText" dxfId="2" priority="6" operator="containsText" text="عميل مهم">
      <formula>NOT(ISERROR(SEARCH("عميل مهم",L1)))</formula>
    </cfRule>
  </conditionalFormatting>
  <conditionalFormatting sqref="M17:M20 M40:M1048576">
    <cfRule type="top10" dxfId="1" priority="4" percent="1" bottom="1" rank="10"/>
    <cfRule type="top10" dxfId="0" priority="5" percent="1" rank="10"/>
  </conditionalFormatting>
  <conditionalFormatting sqref="P2:P11">
    <cfRule type="dataBar" priority="3">
      <dataBar>
        <cfvo type="min"/>
        <cfvo type="max"/>
        <color rgb="FF63C384"/>
      </dataBar>
      <extLst>
        <ext xmlns:x14="http://schemas.microsoft.com/office/spreadsheetml/2009/9/main" uri="{B025F937-C7B1-47D3-B67F-A62EFF666E3E}">
          <x14:id>{9A12EA2F-9A2B-4A3F-8749-354E8C3DB624}</x14:id>
        </ext>
      </extLst>
    </cfRule>
  </conditionalFormatting>
  <dataValidations count="2">
    <dataValidation type="list" allowBlank="1" showInputMessage="1" showErrorMessage="1" sqref="C1:C19 C21:C1048576" xr:uid="{EEBC179C-8B3D-42BF-8967-A76212A5F921}">
      <formula1>"Invoice,Return,Discount"</formula1>
    </dataValidation>
    <dataValidation type="list" allowBlank="1" showInputMessage="1" showErrorMessage="1" sqref="M1 G1:G19 G21:G1048576" xr:uid="{C9D7E9B4-38E3-4EA8-86EB-F2B6DB72010E}">
      <formula1>"Giza,Beheira,Mansoura,Aswan,Minya,Cairo,Sharqia"</formula1>
    </dataValidation>
  </dataValidations>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9A12EA2F-9A2B-4A3F-8749-354E8C3DB624}">
            <x14:dataBar minLength="0" maxLength="100" border="1" negativeBarBorderColorSameAsPositive="0">
              <x14:cfvo type="autoMin"/>
              <x14:cfvo type="autoMax"/>
              <x14:borderColor rgb="FF63C384"/>
              <x14:negativeFillColor rgb="FFFF0000"/>
              <x14:negativeBorderColor rgb="FFFF0000"/>
              <x14:axisColor rgb="FF000000"/>
            </x14:dataBar>
          </x14:cfRule>
          <xm:sqref>P2:P11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EB81-CBA7-46D3-A66C-08D37E843833}">
  <sheetPr>
    <tabColor theme="1"/>
  </sheetPr>
  <dimension ref="A1:B19"/>
  <sheetViews>
    <sheetView workbookViewId="0">
      <selection activeCell="D6" sqref="D6"/>
    </sheetView>
  </sheetViews>
  <sheetFormatPr defaultRowHeight="14.5" x14ac:dyDescent="0.35"/>
  <cols>
    <col min="1" max="2" width="18.7265625" customWidth="1"/>
  </cols>
  <sheetData>
    <row r="1" spans="1:2" x14ac:dyDescent="0.35">
      <c r="A1" s="31" t="s">
        <v>2</v>
      </c>
      <c r="B1" s="31" t="s">
        <v>7</v>
      </c>
    </row>
    <row r="2" spans="1:2" x14ac:dyDescent="0.35">
      <c r="A2" s="32" t="s">
        <v>12</v>
      </c>
      <c r="B2" s="32" t="s">
        <v>14</v>
      </c>
    </row>
    <row r="3" spans="1:2" x14ac:dyDescent="0.35">
      <c r="A3" s="32" t="s">
        <v>12</v>
      </c>
      <c r="B3" s="32" t="s">
        <v>14</v>
      </c>
    </row>
    <row r="4" spans="1:2" x14ac:dyDescent="0.35">
      <c r="A4" s="32" t="s">
        <v>17</v>
      </c>
      <c r="B4" s="32" t="s">
        <v>18</v>
      </c>
    </row>
    <row r="5" spans="1:2" x14ac:dyDescent="0.35">
      <c r="A5" s="32" t="s">
        <v>20</v>
      </c>
      <c r="B5" s="32" t="s">
        <v>14</v>
      </c>
    </row>
    <row r="6" spans="1:2" x14ac:dyDescent="0.35">
      <c r="A6" s="32" t="s">
        <v>22</v>
      </c>
      <c r="B6" s="32" t="s">
        <v>23</v>
      </c>
    </row>
    <row r="7" spans="1:2" x14ac:dyDescent="0.35">
      <c r="A7" s="32" t="s">
        <v>22</v>
      </c>
      <c r="B7" s="32" t="s">
        <v>24</v>
      </c>
    </row>
    <row r="8" spans="1:2" x14ac:dyDescent="0.35">
      <c r="A8" s="32" t="s">
        <v>22</v>
      </c>
      <c r="B8" s="32" t="s">
        <v>23</v>
      </c>
    </row>
    <row r="9" spans="1:2" x14ac:dyDescent="0.35">
      <c r="A9" s="32" t="s">
        <v>22</v>
      </c>
      <c r="B9" s="32" t="s">
        <v>23</v>
      </c>
    </row>
    <row r="10" spans="1:2" x14ac:dyDescent="0.35">
      <c r="A10" s="32" t="s">
        <v>26</v>
      </c>
      <c r="B10" s="32" t="s">
        <v>27</v>
      </c>
    </row>
    <row r="11" spans="1:2" x14ac:dyDescent="0.35">
      <c r="A11" s="32" t="s">
        <v>28</v>
      </c>
      <c r="B11" s="32" t="s">
        <v>29</v>
      </c>
    </row>
    <row r="12" spans="1:2" x14ac:dyDescent="0.35">
      <c r="A12" s="32" t="s">
        <v>31</v>
      </c>
      <c r="B12" s="32" t="s">
        <v>23</v>
      </c>
    </row>
    <row r="13" spans="1:2" x14ac:dyDescent="0.35">
      <c r="A13" s="32" t="s">
        <v>32</v>
      </c>
      <c r="B13" s="32" t="s">
        <v>33</v>
      </c>
    </row>
    <row r="14" spans="1:2" x14ac:dyDescent="0.35">
      <c r="A14" s="32" t="s">
        <v>32</v>
      </c>
      <c r="B14" s="32" t="s">
        <v>33</v>
      </c>
    </row>
    <row r="15" spans="1:2" x14ac:dyDescent="0.35">
      <c r="A15" s="32" t="s">
        <v>32</v>
      </c>
      <c r="B15" s="32" t="s">
        <v>27</v>
      </c>
    </row>
    <row r="16" spans="1:2" x14ac:dyDescent="0.35">
      <c r="A16" s="32" t="s">
        <v>34</v>
      </c>
      <c r="B16" s="32" t="s">
        <v>18</v>
      </c>
    </row>
    <row r="17" spans="1:2" x14ac:dyDescent="0.35">
      <c r="A17" s="32" t="s">
        <v>34</v>
      </c>
      <c r="B17" s="32" t="s">
        <v>18</v>
      </c>
    </row>
    <row r="18" spans="1:2" x14ac:dyDescent="0.35">
      <c r="A18" s="32" t="s">
        <v>36</v>
      </c>
      <c r="B18" s="32" t="s">
        <v>24</v>
      </c>
    </row>
    <row r="19" spans="1:2" x14ac:dyDescent="0.35">
      <c r="A19" s="32" t="s">
        <v>36</v>
      </c>
      <c r="B19" s="32" t="s">
        <v>24</v>
      </c>
    </row>
  </sheetData>
  <dataValidations count="1">
    <dataValidation type="list" allowBlank="1" showInputMessage="1" showErrorMessage="1" sqref="B1:B22 B42:B1048576" xr:uid="{05D3E151-FB17-422A-90D5-E61B023A13E8}">
      <formula1>"الجيزه,البحيره,المنصوره,اسوان,المنيا,القاهرة,الشرقيه"</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7E406-6AFB-44FB-923B-1D0F173AD4A3}">
  <dimension ref="A3:B14"/>
  <sheetViews>
    <sheetView workbookViewId="0">
      <selection activeCell="E18" sqref="E18"/>
    </sheetView>
  </sheetViews>
  <sheetFormatPr defaultRowHeight="14.5" x14ac:dyDescent="0.35"/>
  <cols>
    <col min="1" max="1" width="17.1796875" bestFit="1" customWidth="1"/>
    <col min="2" max="2" width="17.54296875" bestFit="1" customWidth="1"/>
  </cols>
  <sheetData>
    <row r="3" spans="1:2" x14ac:dyDescent="0.35">
      <c r="A3" s="6" t="s">
        <v>0</v>
      </c>
      <c r="B3" t="s">
        <v>41</v>
      </c>
    </row>
    <row r="4" spans="1:2" x14ac:dyDescent="0.35">
      <c r="A4" s="7" t="s">
        <v>12</v>
      </c>
      <c r="B4" s="35">
        <v>11800</v>
      </c>
    </row>
    <row r="5" spans="1:2" x14ac:dyDescent="0.35">
      <c r="A5" s="7" t="s">
        <v>17</v>
      </c>
      <c r="B5" s="35">
        <v>900</v>
      </c>
    </row>
    <row r="6" spans="1:2" x14ac:dyDescent="0.35">
      <c r="A6" s="7" t="s">
        <v>20</v>
      </c>
      <c r="B6" s="35">
        <v>1900</v>
      </c>
    </row>
    <row r="7" spans="1:2" x14ac:dyDescent="0.35">
      <c r="A7" s="7" t="s">
        <v>22</v>
      </c>
      <c r="B7" s="35">
        <v>4600</v>
      </c>
    </row>
    <row r="8" spans="1:2" x14ac:dyDescent="0.35">
      <c r="A8" s="7" t="s">
        <v>36</v>
      </c>
      <c r="B8" s="35">
        <v>8000</v>
      </c>
    </row>
    <row r="9" spans="1:2" x14ac:dyDescent="0.35">
      <c r="A9" s="7" t="s">
        <v>32</v>
      </c>
      <c r="B9" s="35">
        <v>25700</v>
      </c>
    </row>
    <row r="10" spans="1:2" x14ac:dyDescent="0.35">
      <c r="A10" s="7" t="s">
        <v>31</v>
      </c>
      <c r="B10" s="35">
        <v>6900</v>
      </c>
    </row>
    <row r="11" spans="1:2" x14ac:dyDescent="0.35">
      <c r="A11" s="7" t="s">
        <v>34</v>
      </c>
      <c r="B11" s="35">
        <v>6500</v>
      </c>
    </row>
    <row r="12" spans="1:2" x14ac:dyDescent="0.35">
      <c r="A12" s="7" t="s">
        <v>26</v>
      </c>
      <c r="B12" s="35">
        <v>13900</v>
      </c>
    </row>
    <row r="13" spans="1:2" x14ac:dyDescent="0.35">
      <c r="A13" s="7" t="s">
        <v>28</v>
      </c>
      <c r="B13" s="35">
        <v>67900</v>
      </c>
    </row>
    <row r="14" spans="1:2" x14ac:dyDescent="0.35">
      <c r="A14" s="7" t="s">
        <v>1</v>
      </c>
      <c r="B14" s="35">
        <v>148100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E8F4F-29B3-43F3-BE85-10036391DB7A}">
  <dimension ref="A3:B22"/>
  <sheetViews>
    <sheetView topLeftCell="A2" workbookViewId="0">
      <selection activeCell="AB58" sqref="AB58"/>
    </sheetView>
  </sheetViews>
  <sheetFormatPr defaultRowHeight="14.5" x14ac:dyDescent="0.35"/>
  <cols>
    <col min="1" max="1" width="12.36328125" bestFit="1" customWidth="1"/>
    <col min="2" max="2" width="10.36328125" bestFit="1" customWidth="1"/>
    <col min="3" max="18" width="15.26953125" bestFit="1" customWidth="1"/>
    <col min="19" max="19" width="10.7265625" bestFit="1" customWidth="1"/>
  </cols>
  <sheetData>
    <row r="3" spans="1:2" x14ac:dyDescent="0.35">
      <c r="A3" s="6" t="s">
        <v>0</v>
      </c>
      <c r="B3" t="s">
        <v>42</v>
      </c>
    </row>
    <row r="4" spans="1:2" x14ac:dyDescent="0.35">
      <c r="A4" s="36">
        <v>44210</v>
      </c>
      <c r="B4" s="35">
        <v>10000</v>
      </c>
    </row>
    <row r="5" spans="1:2" x14ac:dyDescent="0.35">
      <c r="A5" s="36">
        <v>44211</v>
      </c>
      <c r="B5" s="35">
        <v>7000</v>
      </c>
    </row>
    <row r="6" spans="1:2" x14ac:dyDescent="0.35">
      <c r="A6" s="36">
        <v>44212</v>
      </c>
      <c r="B6" s="35">
        <v>5000</v>
      </c>
    </row>
    <row r="7" spans="1:2" x14ac:dyDescent="0.35">
      <c r="A7" s="36">
        <v>44213</v>
      </c>
      <c r="B7" s="35">
        <v>15000</v>
      </c>
    </row>
    <row r="8" spans="1:2" x14ac:dyDescent="0.35">
      <c r="A8" s="36">
        <v>44214</v>
      </c>
      <c r="B8" s="35">
        <v>20000</v>
      </c>
    </row>
    <row r="9" spans="1:2" x14ac:dyDescent="0.35">
      <c r="A9" s="36">
        <v>44215</v>
      </c>
      <c r="B9" s="35">
        <v>70000</v>
      </c>
    </row>
    <row r="10" spans="1:2" x14ac:dyDescent="0.35">
      <c r="A10" s="36">
        <v>44216</v>
      </c>
      <c r="B10" s="35">
        <v>4000</v>
      </c>
    </row>
    <row r="11" spans="1:2" x14ac:dyDescent="0.35">
      <c r="A11" s="36">
        <v>44217</v>
      </c>
      <c r="B11" s="35">
        <v>2000</v>
      </c>
    </row>
    <row r="12" spans="1:2" x14ac:dyDescent="0.35">
      <c r="A12" s="36">
        <v>44218</v>
      </c>
      <c r="B12" s="35">
        <v>3000</v>
      </c>
    </row>
    <row r="13" spans="1:2" x14ac:dyDescent="0.35">
      <c r="A13" s="36">
        <v>44219</v>
      </c>
      <c r="B13" s="35">
        <v>9000</v>
      </c>
    </row>
    <row r="14" spans="1:2" x14ac:dyDescent="0.35">
      <c r="A14" s="36">
        <v>44220</v>
      </c>
      <c r="B14" s="35">
        <v>16000</v>
      </c>
    </row>
    <row r="15" spans="1:2" x14ac:dyDescent="0.35">
      <c r="A15" s="36">
        <v>44221</v>
      </c>
      <c r="B15" s="35">
        <v>10000</v>
      </c>
    </row>
    <row r="16" spans="1:2" x14ac:dyDescent="0.35">
      <c r="A16" s="36">
        <v>44222</v>
      </c>
      <c r="B16" s="35">
        <v>1000</v>
      </c>
    </row>
    <row r="17" spans="1:2" x14ac:dyDescent="0.35">
      <c r="A17" s="36">
        <v>44223</v>
      </c>
      <c r="B17" s="35">
        <v>2000</v>
      </c>
    </row>
    <row r="18" spans="1:2" x14ac:dyDescent="0.35">
      <c r="A18" s="36">
        <v>44224</v>
      </c>
      <c r="B18" s="35">
        <v>500</v>
      </c>
    </row>
    <row r="19" spans="1:2" x14ac:dyDescent="0.35">
      <c r="A19" s="36">
        <v>44225</v>
      </c>
      <c r="B19" s="35">
        <v>1000</v>
      </c>
    </row>
    <row r="20" spans="1:2" x14ac:dyDescent="0.35">
      <c r="A20" s="36">
        <v>44226</v>
      </c>
      <c r="B20" s="35">
        <v>2000</v>
      </c>
    </row>
    <row r="21" spans="1:2" x14ac:dyDescent="0.35">
      <c r="A21" s="36">
        <v>44227</v>
      </c>
      <c r="B21" s="35">
        <v>5000</v>
      </c>
    </row>
    <row r="22" spans="1:2" x14ac:dyDescent="0.35">
      <c r="A22" s="7" t="s">
        <v>1</v>
      </c>
      <c r="B22" s="35">
        <v>182500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E988F-3EDB-495B-A17B-77BF8029B007}">
  <dimension ref="A3:B11"/>
  <sheetViews>
    <sheetView topLeftCell="E1" workbookViewId="0">
      <selection activeCell="Q18" sqref="Q18"/>
    </sheetView>
  </sheetViews>
  <sheetFormatPr defaultRowHeight="14.5" x14ac:dyDescent="0.35"/>
  <cols>
    <col min="1" max="1" width="12.36328125" bestFit="1" customWidth="1"/>
    <col min="2" max="2" width="17.54296875" bestFit="1" customWidth="1"/>
  </cols>
  <sheetData>
    <row r="3" spans="1:2" x14ac:dyDescent="0.35">
      <c r="A3" s="6" t="s">
        <v>0</v>
      </c>
      <c r="B3" t="s">
        <v>41</v>
      </c>
    </row>
    <row r="4" spans="1:2" x14ac:dyDescent="0.35">
      <c r="A4" s="7" t="s">
        <v>33</v>
      </c>
      <c r="B4" s="35">
        <v>25800</v>
      </c>
    </row>
    <row r="5" spans="1:2" x14ac:dyDescent="0.35">
      <c r="A5" s="7" t="s">
        <v>18</v>
      </c>
      <c r="B5" s="35">
        <v>7400</v>
      </c>
    </row>
    <row r="6" spans="1:2" x14ac:dyDescent="0.35">
      <c r="A6" s="7" t="s">
        <v>14</v>
      </c>
      <c r="B6" s="35">
        <v>13700</v>
      </c>
    </row>
    <row r="7" spans="1:2" x14ac:dyDescent="0.35">
      <c r="A7" s="7" t="s">
        <v>24</v>
      </c>
      <c r="B7" s="35">
        <v>7900</v>
      </c>
    </row>
    <row r="8" spans="1:2" x14ac:dyDescent="0.35">
      <c r="A8" s="7" t="s">
        <v>23</v>
      </c>
      <c r="B8" s="35">
        <v>11600</v>
      </c>
    </row>
    <row r="9" spans="1:2" x14ac:dyDescent="0.35">
      <c r="A9" s="7" t="s">
        <v>29</v>
      </c>
      <c r="B9" s="35">
        <v>67900</v>
      </c>
    </row>
    <row r="10" spans="1:2" x14ac:dyDescent="0.35">
      <c r="A10" s="7" t="s">
        <v>27</v>
      </c>
      <c r="B10" s="35">
        <v>13800</v>
      </c>
    </row>
    <row r="11" spans="1:2" x14ac:dyDescent="0.35">
      <c r="A11" s="7" t="s">
        <v>1</v>
      </c>
      <c r="B11" s="35">
        <v>148100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D4718-ACD3-4366-BAE3-9906FCF1706A}">
  <dimension ref="A3:B6"/>
  <sheetViews>
    <sheetView topLeftCell="C1" workbookViewId="0">
      <selection activeCell="AG39" sqref="AG39"/>
    </sheetView>
  </sheetViews>
  <sheetFormatPr defaultRowHeight="14.5" x14ac:dyDescent="0.35"/>
  <cols>
    <col min="1" max="1" width="15.7265625" bestFit="1" customWidth="1"/>
    <col min="2" max="2" width="17.54296875" bestFit="1" customWidth="1"/>
    <col min="3" max="3" width="11.1796875" bestFit="1" customWidth="1"/>
    <col min="4" max="4" width="15.54296875" bestFit="1" customWidth="1"/>
    <col min="5" max="6" width="12.1796875" bestFit="1" customWidth="1"/>
    <col min="7" max="7" width="17.1796875" bestFit="1" customWidth="1"/>
    <col min="8" max="8" width="16" bestFit="1" customWidth="1"/>
    <col min="9" max="9" width="14" bestFit="1" customWidth="1"/>
    <col min="10" max="10" width="12.08984375" bestFit="1" customWidth="1"/>
    <col min="11" max="11" width="9.54296875" bestFit="1" customWidth="1"/>
    <col min="12" max="12" width="10.7265625" bestFit="1" customWidth="1"/>
  </cols>
  <sheetData>
    <row r="3" spans="1:2" x14ac:dyDescent="0.35">
      <c r="A3" s="6" t="s">
        <v>0</v>
      </c>
      <c r="B3" t="s">
        <v>41</v>
      </c>
    </row>
    <row r="4" spans="1:2" x14ac:dyDescent="0.35">
      <c r="A4" s="7" t="s">
        <v>40</v>
      </c>
      <c r="B4" s="35">
        <v>121700</v>
      </c>
    </row>
    <row r="5" spans="1:2" x14ac:dyDescent="0.35">
      <c r="A5" s="7" t="s">
        <v>43</v>
      </c>
      <c r="B5" s="35">
        <v>27600</v>
      </c>
    </row>
    <row r="6" spans="1:2" x14ac:dyDescent="0.35">
      <c r="A6" s="7" t="s">
        <v>1</v>
      </c>
      <c r="B6" s="35">
        <v>149300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7B6EB-3479-4C58-B648-4C808F505C3C}">
  <dimension ref="A3:B9"/>
  <sheetViews>
    <sheetView workbookViewId="0">
      <selection activeCell="A16" sqref="A16"/>
    </sheetView>
  </sheetViews>
  <sheetFormatPr defaultRowHeight="14.5" x14ac:dyDescent="0.35"/>
  <cols>
    <col min="1" max="1" width="12.36328125" bestFit="1" customWidth="1"/>
    <col min="2" max="2" width="17.54296875" bestFit="1" customWidth="1"/>
  </cols>
  <sheetData>
    <row r="3" spans="1:2" x14ac:dyDescent="0.35">
      <c r="A3" s="6" t="s">
        <v>0</v>
      </c>
      <c r="B3" t="s">
        <v>41</v>
      </c>
    </row>
    <row r="4" spans="1:2" x14ac:dyDescent="0.35">
      <c r="A4" s="7" t="s">
        <v>19</v>
      </c>
      <c r="B4" s="35">
        <v>900</v>
      </c>
    </row>
    <row r="5" spans="1:2" x14ac:dyDescent="0.35">
      <c r="A5" s="7" t="s">
        <v>25</v>
      </c>
      <c r="B5" s="35">
        <v>28700</v>
      </c>
    </row>
    <row r="6" spans="1:2" x14ac:dyDescent="0.35">
      <c r="A6" s="7" t="s">
        <v>30</v>
      </c>
      <c r="B6" s="35">
        <v>81300</v>
      </c>
    </row>
    <row r="7" spans="1:2" x14ac:dyDescent="0.35">
      <c r="A7" s="7" t="s">
        <v>21</v>
      </c>
      <c r="B7" s="35">
        <v>17600</v>
      </c>
    </row>
    <row r="8" spans="1:2" x14ac:dyDescent="0.35">
      <c r="A8" s="7" t="s">
        <v>15</v>
      </c>
      <c r="B8" s="35">
        <v>19600</v>
      </c>
    </row>
    <row r="9" spans="1:2" x14ac:dyDescent="0.35">
      <c r="A9" s="7" t="s">
        <v>1</v>
      </c>
      <c r="B9" s="35">
        <v>148100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C733E-1171-4725-9A64-3ED52DC137C6}">
  <sheetPr>
    <tabColor theme="1"/>
  </sheetPr>
  <dimension ref="E1:AK35"/>
  <sheetViews>
    <sheetView showGridLines="0" tabSelected="1" topLeftCell="D1" zoomScale="52" zoomScaleNormal="52" workbookViewId="0">
      <selection activeCell="AK13" sqref="AK13"/>
    </sheetView>
  </sheetViews>
  <sheetFormatPr defaultRowHeight="14.5" x14ac:dyDescent="0.35"/>
  <sheetData>
    <row r="1" spans="5:37" x14ac:dyDescent="0.35">
      <c r="E1" s="8"/>
    </row>
    <row r="3" spans="5:37" x14ac:dyDescent="0.35">
      <c r="E3" s="39" t="s">
        <v>44</v>
      </c>
      <c r="F3" s="40"/>
      <c r="G3" s="40"/>
      <c r="H3" s="40"/>
      <c r="I3" s="40"/>
      <c r="J3" s="40"/>
      <c r="K3" s="40"/>
      <c r="L3" s="40"/>
      <c r="M3" s="40"/>
      <c r="N3" s="40"/>
      <c r="O3" s="40"/>
      <c r="P3" s="40"/>
      <c r="Q3" s="40"/>
      <c r="R3" s="40"/>
      <c r="S3" s="40"/>
      <c r="T3" s="40"/>
      <c r="U3" s="40"/>
      <c r="V3" s="40"/>
      <c r="W3" s="40"/>
      <c r="X3" s="40"/>
      <c r="Y3" s="40"/>
      <c r="Z3" s="40"/>
      <c r="AA3" s="40"/>
      <c r="AB3" s="40"/>
      <c r="AC3" s="40"/>
      <c r="AD3" s="40"/>
      <c r="AE3" s="40"/>
      <c r="AF3" s="40"/>
    </row>
    <row r="4" spans="5:37" x14ac:dyDescent="0.35">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row>
    <row r="5" spans="5:37" x14ac:dyDescent="0.35">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row>
    <row r="6" spans="5:37" x14ac:dyDescent="0.35">
      <c r="AG6" s="38"/>
      <c r="AH6" s="38"/>
      <c r="AI6" s="38"/>
      <c r="AJ6" s="38"/>
      <c r="AK6" s="38"/>
    </row>
    <row r="7" spans="5:37" x14ac:dyDescent="0.35">
      <c r="AG7" s="38"/>
      <c r="AH7" s="38"/>
      <c r="AI7" s="38"/>
      <c r="AJ7" s="38"/>
      <c r="AK7" s="38"/>
    </row>
    <row r="8" spans="5:37" x14ac:dyDescent="0.35">
      <c r="AG8" s="38"/>
      <c r="AH8" s="38"/>
      <c r="AI8" s="38"/>
      <c r="AJ8" s="38"/>
      <c r="AK8" s="38"/>
    </row>
    <row r="9" spans="5:37" x14ac:dyDescent="0.35">
      <c r="AG9" s="38"/>
      <c r="AH9" s="38"/>
      <c r="AI9" s="38"/>
      <c r="AJ9" s="38"/>
      <c r="AK9" s="38"/>
    </row>
    <row r="10" spans="5:37" x14ac:dyDescent="0.35">
      <c r="AG10" s="38"/>
      <c r="AH10" s="38"/>
      <c r="AI10" s="38"/>
      <c r="AJ10" s="38"/>
      <c r="AK10" s="38"/>
    </row>
    <row r="11" spans="5:37" x14ac:dyDescent="0.35">
      <c r="AG11" s="38"/>
      <c r="AH11" s="38"/>
      <c r="AI11" s="38"/>
      <c r="AJ11" s="38"/>
      <c r="AK11" s="38"/>
    </row>
    <row r="12" spans="5:37" x14ac:dyDescent="0.35">
      <c r="AG12" s="38"/>
      <c r="AH12" s="38"/>
      <c r="AI12" s="38"/>
      <c r="AJ12" s="38"/>
      <c r="AK12" s="38"/>
    </row>
    <row r="13" spans="5:37" x14ac:dyDescent="0.35">
      <c r="AG13" s="38"/>
      <c r="AH13" s="38"/>
      <c r="AI13" s="38"/>
      <c r="AJ13" s="38"/>
      <c r="AK13" s="38"/>
    </row>
    <row r="14" spans="5:37" x14ac:dyDescent="0.35">
      <c r="AG14" s="38"/>
      <c r="AH14" s="38"/>
      <c r="AI14" s="38"/>
      <c r="AJ14" s="38"/>
      <c r="AK14" s="38"/>
    </row>
    <row r="15" spans="5:37" x14ac:dyDescent="0.35">
      <c r="AG15" s="38"/>
      <c r="AH15" s="38"/>
      <c r="AI15" s="38"/>
      <c r="AJ15" s="38"/>
      <c r="AK15" s="38"/>
    </row>
    <row r="16" spans="5:37" x14ac:dyDescent="0.35">
      <c r="AG16" s="38"/>
      <c r="AH16" s="38"/>
      <c r="AI16" s="38"/>
      <c r="AJ16" s="38"/>
      <c r="AK16" s="38"/>
    </row>
    <row r="17" spans="33:37" x14ac:dyDescent="0.35">
      <c r="AG17" s="38"/>
      <c r="AH17" s="38"/>
      <c r="AI17" s="38"/>
      <c r="AJ17" s="38"/>
      <c r="AK17" s="38"/>
    </row>
    <row r="18" spans="33:37" x14ac:dyDescent="0.35">
      <c r="AG18" s="38"/>
      <c r="AH18" s="38"/>
      <c r="AI18" s="38"/>
      <c r="AJ18" s="38"/>
      <c r="AK18" s="38"/>
    </row>
    <row r="19" spans="33:37" x14ac:dyDescent="0.35">
      <c r="AG19" s="38"/>
      <c r="AH19" s="38"/>
      <c r="AI19" s="38"/>
      <c r="AJ19" s="38"/>
      <c r="AK19" s="38"/>
    </row>
    <row r="20" spans="33:37" x14ac:dyDescent="0.35">
      <c r="AG20" s="38"/>
      <c r="AH20" s="38"/>
      <c r="AI20" s="38"/>
      <c r="AJ20" s="38"/>
      <c r="AK20" s="38"/>
    </row>
    <row r="21" spans="33:37" x14ac:dyDescent="0.35">
      <c r="AG21" s="38"/>
      <c r="AH21" s="38"/>
      <c r="AI21" s="38"/>
      <c r="AJ21" s="38"/>
      <c r="AK21" s="38"/>
    </row>
    <row r="22" spans="33:37" x14ac:dyDescent="0.35">
      <c r="AG22" s="38"/>
      <c r="AH22" s="38"/>
      <c r="AI22" s="38"/>
      <c r="AJ22" s="38"/>
      <c r="AK22" s="38"/>
    </row>
    <row r="23" spans="33:37" x14ac:dyDescent="0.35">
      <c r="AG23" s="38"/>
      <c r="AH23" s="38"/>
      <c r="AI23" s="38"/>
      <c r="AJ23" s="38"/>
      <c r="AK23" s="38"/>
    </row>
    <row r="24" spans="33:37" x14ac:dyDescent="0.35">
      <c r="AG24" s="38"/>
      <c r="AH24" s="38"/>
      <c r="AI24" s="38"/>
      <c r="AJ24" s="38"/>
      <c r="AK24" s="38"/>
    </row>
    <row r="25" spans="33:37" x14ac:dyDescent="0.35">
      <c r="AG25" s="38"/>
      <c r="AH25" s="38"/>
      <c r="AI25" s="38"/>
      <c r="AJ25" s="38"/>
      <c r="AK25" s="38"/>
    </row>
    <row r="26" spans="33:37" x14ac:dyDescent="0.35">
      <c r="AG26" s="38"/>
      <c r="AH26" s="38"/>
      <c r="AI26" s="38"/>
      <c r="AJ26" s="38"/>
      <c r="AK26" s="38"/>
    </row>
    <row r="27" spans="33:37" x14ac:dyDescent="0.35">
      <c r="AG27" s="38"/>
      <c r="AH27" s="38"/>
      <c r="AI27" s="38"/>
      <c r="AJ27" s="38"/>
      <c r="AK27" s="38"/>
    </row>
    <row r="28" spans="33:37" x14ac:dyDescent="0.35">
      <c r="AG28" s="38"/>
      <c r="AH28" s="38"/>
      <c r="AI28" s="38"/>
      <c r="AJ28" s="38"/>
      <c r="AK28" s="38"/>
    </row>
    <row r="29" spans="33:37" x14ac:dyDescent="0.35">
      <c r="AG29" s="38"/>
      <c r="AH29" s="38"/>
      <c r="AI29" s="38"/>
      <c r="AJ29" s="38"/>
      <c r="AK29" s="38"/>
    </row>
    <row r="30" spans="33:37" x14ac:dyDescent="0.35">
      <c r="AG30" s="38"/>
      <c r="AH30" s="38"/>
      <c r="AI30" s="38"/>
      <c r="AJ30" s="38"/>
      <c r="AK30" s="38"/>
    </row>
    <row r="31" spans="33:37" x14ac:dyDescent="0.35">
      <c r="AG31" s="38"/>
      <c r="AH31" s="38"/>
      <c r="AI31" s="38"/>
      <c r="AJ31" s="38"/>
      <c r="AK31" s="38"/>
    </row>
    <row r="32" spans="33:37" x14ac:dyDescent="0.35">
      <c r="AG32" s="38"/>
      <c r="AH32" s="38"/>
      <c r="AI32" s="38"/>
      <c r="AJ32" s="38"/>
      <c r="AK32" s="38"/>
    </row>
    <row r="33" spans="33:37" x14ac:dyDescent="0.35">
      <c r="AG33" s="37"/>
      <c r="AH33" s="37"/>
      <c r="AI33" s="37"/>
      <c r="AJ33" s="34"/>
      <c r="AK33" s="34"/>
    </row>
    <row r="34" spans="33:37" x14ac:dyDescent="0.35">
      <c r="AG34" s="33"/>
      <c r="AH34" s="33"/>
      <c r="AI34" s="33"/>
      <c r="AJ34" s="34"/>
      <c r="AK34" s="34"/>
    </row>
    <row r="35" spans="33:37" x14ac:dyDescent="0.35">
      <c r="AG35" s="33"/>
      <c r="AH35" s="33"/>
      <c r="AI35" s="33"/>
      <c r="AJ35" s="34"/>
    </row>
  </sheetData>
  <mergeCells count="2">
    <mergeCell ref="AG33:AI33"/>
    <mergeCell ref="E3:AF5"/>
  </mergeCells>
  <pageMargins left="0.70866141732283472" right="0.70866141732283472" top="0.74803149606299213" bottom="0.74803149606299213" header="0.31496062992125984" footer="0.31496062992125984"/>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��1BE 'D7'D('D/1,)'D*B/J11BE 'D7'D('D/1,)'D*B/J1
</file>

<file path=customXml/item4.xml>��'3E 'D9EJD'D(J'F'DBJE)'D61J()'D5'AJ'DEF7B)'D*'1J.'3E 'D9EJD'D(J'F'DBJE)'D61J()'D5'AJ'DEF7B)'D*'1J.
</file>

<file path=customXml/item5.xml>��
</file>

<file path=customXml/item6.xml>��
</file>

<file path=customXml/item7.xml>��
</file>

<file path=customXml/item8.xml>��1BE 'D7'D('D'3E 'D#HD'D'3E 'D+'FJ'D'3E 'DC'ED1BE 'D7'D('D'3E 'D#HD'D'3E 'D+'FJ'D'3E 'DC'ED
</file>

<file path=customXml/item9.xml>��
</file>

<file path=customXml/item10.xml>��
</file>

<file path=customXml/item11.xml>��
</file>

<file path=customXml/item12.xml>��'3E 'D9EJD'D(J'F'DBJE)'D61J()'D5'AJ'DEF7B)'D*'1J.1BE 'D7'D('D'3E 'D#HD'D'3E 'D+'FJ'D'3E 'DC'ED
</file>

<file path=customXml/item13.xml>��
</file>

<file path=customXml/item14.xml>��1BE 'D7'D(1BE 'D7'D(1BE 'D7'D(1BE 'D7'D('D'3E 'D#HD'D'3E 'D+'FJ'D'3E 'DC'ED1BE 'D7'D(1BE 'D7'D(1BE 'D7'D(1BE 'D7'D(1BE 'D7'D(1BE 'D7'D(1BE 'D7'D(1BE 'D7'D(1BE 'D7'D(1BE 'D7'D('D'3E 'D#HD'D'3E 'D+'FJ'D'3E 'DC'ED1BE 'D7'D(1BE 'D7'D(1BE 'D7'D(1BE 'D7'D(1BE 'D7'D(1BE 'D7'D('3E 'D9EJD'D(J'F'DBJE)'D61J()'D5'AJ'DEF7B)'D*'1J.'D5'AJ'D5'AJ'DBJE)'DBJE)'DEF7B)'DEF7B)'3E 'D9EJD'DEF7B)'D5'AJFH9 'D9EJDF3() 'DE(J9'*'D5'AJ'D5'AJ'3E 'D9EJD'3E 'D9EJD'3E 'D9EJD'3E 'D9EJD'3E 'D9EJD'3E 'D9EJD'3E 'D9EJD'3E 'D9EJD'3E 'D9EJD'D(J'F'DBJE)'D61J()'D5'AJ'DEF7B)'D*'1J.'D5'AJ'D5'AJ'DBJE)'DBJE)'DEF7B)'DEF7B)'3E 'D9EJD'DEF7B)'D5'AJFH9 'D9EJDF3() 'DE(J9'*'D5'AJ'D5'AJ'3E 'D9EJD'3E 'D9EJD'3E 'D9EJD'3E 'D9EJD'3E 'D9EJD'3E 'D9EJD'3E 'D9EJD'3E 'D9EJD'D5'AJ'D5'AJ'D5'AJ'DBJE)'DBJE)'DBJE)'DEF7B)'DEF7B)'DEF7B)'3E 'D9EJD'D(J'F'DBJE)'D61J()'D5'AJ'DEF7B)'D*'1J.'D5'AJ'D5'AJ'D5'AJ'D5'AJ'D5'AJ'D5'AJ'DBJE)'DBJE)'DBJE)'DBJE)'DBJE)'DBJE)'DEF7B)'DEF7B)'DEF7B)'DEF7B)'DEF7B)'DEF7B)'D5'AJ'D5'AJ'D5'AJ'DBJE)'DBJE)'DBJE)'DEF7B)'DEF7B)'DEF7B)'3E 'D9EJD'D(J'F'DBJE)'D61J()'D5'AJ'DEF7B)'D*'1J.'D5'AJ'D5'AJ'D5'AJ'D5'AJ'D5'AJ'D5'AJ'DBJE)'DBJE)'DBJE)'DBJE)'DBJE)'DBJE)'DEF7B)'DEF7B)'DEF7B)'DEF7B)'DEF7B)'DEF7B)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3041276-DE2B-4369-AE41-26080D092BE2}">
  <ds:schemaRefs/>
</ds:datastoreItem>
</file>

<file path=customXml/itemProps2.xml><?xml version="1.0" encoding="utf-8"?>
<ds:datastoreItem xmlns:ds="http://schemas.openxmlformats.org/officeDocument/2006/customXml" ds:itemID="{0BBF4AB1-9731-4AB2-9245-44CB41FA4942}">
  <ds:schemaRefs/>
</ds:datastoreItem>
</file>

<file path=customXml/itemProps3.xml><?xml version="1.0" encoding="utf-8"?>
<ds:datastoreItem xmlns:ds="http://schemas.openxmlformats.org/officeDocument/2006/customXml" ds:itemID="{747FD3EA-6437-44C5-B522-9DF502F9A513}">
  <ds:schemaRefs/>
</ds:datastoreItem>
</file>

<file path=customXml/itemProps4.xml><?xml version="1.0" encoding="utf-8"?>
<ds:datastoreItem xmlns:ds="http://schemas.openxmlformats.org/officeDocument/2006/customXml" ds:itemID="{C63E3D80-CD33-456A-A636-5A117FE94ACE}">
  <ds:schemaRefs/>
</ds:datastoreItem>
</file>

<file path=customXml/itemProps5.xml><?xml version="1.0" encoding="utf-8"?>
<ds:datastoreItem xmlns:ds="http://schemas.openxmlformats.org/officeDocument/2006/customXml" ds:itemID="{158B9F6B-9818-4154-A4F3-37F58A348C0A}">
  <ds:schemaRefs/>
</ds:datastoreItem>
</file>

<file path=customXml/itemProps6.xml><?xml version="1.0" encoding="utf-8"?>
<ds:datastoreItem xmlns:ds="http://schemas.openxmlformats.org/officeDocument/2006/customXml" ds:itemID="{C8F37C5C-BEAE-4B23-A71D-9363EECB53DB}">
  <ds:schemaRefs/>
</ds:datastoreItem>
</file>

<file path=customXml/itemProps7.xml><?xml version="1.0" encoding="utf-8"?>
<ds:datastoreItem xmlns:ds="http://schemas.openxmlformats.org/officeDocument/2006/customXml" ds:itemID="{E69F4145-5523-4E07-B973-042FC0864E59}">
  <ds:schemaRefs/>
</ds:datastoreItem>
</file>

<file path=customXml/itemProps8.xml><?xml version="1.0" encoding="utf-8"?>
<ds:datastoreItem xmlns:ds="http://schemas.openxmlformats.org/officeDocument/2006/customXml" ds:itemID="{D55E3A11-FA4B-4DB5-94A4-88806C6EF5F4}">
  <ds:schemaRefs/>
</ds:datastoreItem>
</file>

<file path=customXml/itemProps9.xml><?xml version="1.0" encoding="utf-8"?>
<ds:datastoreItem xmlns:ds="http://schemas.openxmlformats.org/officeDocument/2006/customXml" ds:itemID="{87D3F178-5152-4E4B-9F87-88613ED352B7}">
  <ds:schemaRefs/>
</ds:datastoreItem>
</file>

<file path=customXml/itemProps10.xml><?xml version="1.0" encoding="utf-8"?>
<ds:datastoreItem xmlns:ds="http://schemas.openxmlformats.org/officeDocument/2006/customXml" ds:itemID="{FEC3DE73-1563-45E9-A11E-B9730E9CBCE5}">
  <ds:schemaRefs/>
</ds:datastoreItem>
</file>

<file path=customXml/itemProps11.xml><?xml version="1.0" encoding="utf-8"?>
<ds:datastoreItem xmlns:ds="http://schemas.openxmlformats.org/officeDocument/2006/customXml" ds:itemID="{82E60140-94D4-4E87-8E18-6078764A0C65}">
  <ds:schemaRefs/>
</ds:datastoreItem>
</file>

<file path=customXml/itemProps12.xml><?xml version="1.0" encoding="utf-8"?>
<ds:datastoreItem xmlns:ds="http://schemas.openxmlformats.org/officeDocument/2006/customXml" ds:itemID="{9250A9A0-1706-434B-9974-43B02906CD1F}">
  <ds:schemaRefs/>
</ds:datastoreItem>
</file>

<file path=customXml/itemProps13.xml><?xml version="1.0" encoding="utf-8"?>
<ds:datastoreItem xmlns:ds="http://schemas.openxmlformats.org/officeDocument/2006/customXml" ds:itemID="{690E69BB-B322-425F-9DD4-B46A5BB2EA2B}">
  <ds:schemaRefs/>
</ds:datastoreItem>
</file>

<file path=customXml/itemProps14.xml><?xml version="1.0" encoding="utf-8"?>
<ds:datastoreItem xmlns:ds="http://schemas.openxmlformats.org/officeDocument/2006/customXml" ds:itemID="{34D07B36-B683-4697-947F-B7C42A19BD10}">
  <ds:schemaRefs/>
</ds:datastoreItem>
</file>

<file path=customXml/itemProps15.xml><?xml version="1.0" encoding="utf-8"?>
<ds:datastoreItem xmlns:ds="http://schemas.openxmlformats.org/officeDocument/2006/customXml" ds:itemID="{A64A71E5-80B5-40F9-B4C0-7809490E64AF}">
  <ds:schemaRefs/>
</ds:datastoreItem>
</file>

<file path=customXml/itemProps16.xml><?xml version="1.0" encoding="utf-8"?>
<ds:datastoreItem xmlns:ds="http://schemas.openxmlformats.org/officeDocument/2006/customXml" ds:itemID="{E0360BEF-ACE8-4167-9F71-018E4E709CC9}">
  <ds:schemaRefs/>
</ds:datastoreItem>
</file>

<file path=customXml/itemProps17.xml><?xml version="1.0" encoding="utf-8"?>
<ds:datastoreItem xmlns:ds="http://schemas.openxmlformats.org/officeDocument/2006/customXml" ds:itemID="{25266706-F773-43D9-BB43-DC46AD58719B}">
  <ds:schemaRefs/>
</ds:datastoreItem>
</file>

<file path=customXml/itemProps18.xml><?xml version="1.0" encoding="utf-8"?>
<ds:datastoreItem xmlns:ds="http://schemas.openxmlformats.org/officeDocument/2006/customXml" ds:itemID="{C6C34D3B-8DFA-4A9F-875C-0C6C5C1C014F}">
  <ds:schemaRefs/>
</ds:datastoreItem>
</file>

<file path=customXml/itemProps19.xml><?xml version="1.0" encoding="utf-8"?>
<ds:datastoreItem xmlns:ds="http://schemas.openxmlformats.org/officeDocument/2006/customXml" ds:itemID="{97EBB793-9BA6-48BD-97F4-C5CBD231F0B6}">
  <ds:schemaRefs/>
</ds:datastoreItem>
</file>

<file path=customXml/itemProps20.xml><?xml version="1.0" encoding="utf-8"?>
<ds:datastoreItem xmlns:ds="http://schemas.openxmlformats.org/officeDocument/2006/customXml" ds:itemID="{0EFEAD3C-BF83-4CC8-A59F-E4B8827B3E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SalesDataa</vt:lpstr>
      <vt:lpstr>database</vt:lpstr>
      <vt:lpstr>Sales by Customer</vt:lpstr>
      <vt:lpstr>Sales Trend</vt:lpstr>
      <vt:lpstr>Sales by Region</vt:lpstr>
      <vt:lpstr>Sales by Customer Type</vt:lpstr>
      <vt:lpstr>Sales by Sales Rep</vt:lpstr>
      <vt:lpstr>لوحة التحكم</vt:lpstr>
      <vt:lpstr>SalesDataa!Extract</vt:lpstr>
      <vt:lpstr>SalesData</vt:lpstr>
      <vt:lpstr>SMALLTABLE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frah</dc:creator>
  <cp:lastModifiedBy>frah</cp:lastModifiedBy>
  <dcterms:created xsi:type="dcterms:W3CDTF">2015-06-05T18:17:20Z</dcterms:created>
  <dcterms:modified xsi:type="dcterms:W3CDTF">2026-01-31T14:07:19Z</dcterms:modified>
</cp:coreProperties>
</file>